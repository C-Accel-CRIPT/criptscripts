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" sheetId="1" r:id="rId4"/>
  </sheets>
  <definedNames/>
  <calcPr/>
  <extLst>
    <ext uri="GoogleSheetsCustomDataVersion2">
      <go:sheetsCustomData xmlns:go="http://customooxmlschemas.google.com/" r:id="rId5" roundtripDataChecksum="6j2nwFs+XDqcWDySn7D8rgMA9cEyl0gk+2TCsi+24u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65">
      <text>
        <t xml:space="preserve">======
ID#AAABVMCmQ2I
Debra Audus    (2024-09-10 18:12:24)
WARNING: Fake data
------
ID#AAABVMCmQ2M
Debra Audus    (2024-09-10 18:13:20)
This is to test all the edge cases.</t>
      </text>
    </comment>
  </commentList>
  <extLst>
    <ext uri="GoogleSheetsCustomDataVersion2">
      <go:sheetsCustomData xmlns:go="http://customooxmlschemas.google.com/" r:id="rId1" roundtripDataSignature="AMtx7mhZs6Cfs57ttcOS/JbAnyMYScjOeQ=="/>
    </ext>
  </extLst>
</comments>
</file>

<file path=xl/sharedStrings.xml><?xml version="1.0" encoding="utf-8"?>
<sst xmlns="http://schemas.openxmlformats.org/spreadsheetml/2006/main" count="3416" uniqueCount="623">
  <si>
    <t>id_temp</t>
  </si>
  <si>
    <t>reference_temporary</t>
  </si>
  <si>
    <t>doi</t>
  </si>
  <si>
    <t>ready_for_testing</t>
  </si>
  <si>
    <t>mixture</t>
  </si>
  <si>
    <t>compound1</t>
  </si>
  <si>
    <t>type1</t>
  </si>
  <si>
    <t>BigSMILES1</t>
  </si>
  <si>
    <t>ac1</t>
  </si>
  <si>
    <t>composition1</t>
  </si>
  <si>
    <t>compound2</t>
  </si>
  <si>
    <t>type2</t>
  </si>
  <si>
    <t>BigSMILES2</t>
  </si>
  <si>
    <t>ac2</t>
  </si>
  <si>
    <t>composition2</t>
  </si>
  <si>
    <t>compoundcombined</t>
  </si>
  <si>
    <t>BigSMILEScombined</t>
  </si>
  <si>
    <t>molmass1</t>
  </si>
  <si>
    <t>molmass2</t>
  </si>
  <si>
    <t>molmassunit</t>
  </si>
  <si>
    <t>type</t>
  </si>
  <si>
    <t>method</t>
  </si>
  <si>
    <t>temperature</t>
  </si>
  <si>
    <t>tempmax</t>
  </si>
  <si>
    <t>tempunit</t>
  </si>
  <si>
    <t>abstract</t>
  </si>
  <si>
    <t>text</t>
  </si>
  <si>
    <t>figurenumber</t>
  </si>
  <si>
    <t>tablenumber</t>
  </si>
  <si>
    <t>eqnumber</t>
  </si>
  <si>
    <t>chinumber</t>
  </si>
  <si>
    <t>chimax</t>
  </si>
  <si>
    <t>chierror</t>
  </si>
  <si>
    <t>chia</t>
  </si>
  <si>
    <t>chiaerror</t>
  </si>
  <si>
    <t>chib</t>
  </si>
  <si>
    <t>chiberror</t>
  </si>
  <si>
    <t>chic</t>
  </si>
  <si>
    <t>chicerror</t>
  </si>
  <si>
    <t>indirect</t>
  </si>
  <si>
    <t>notinorig</t>
  </si>
  <si>
    <t>reference</t>
  </si>
  <si>
    <t>notes</t>
  </si>
  <si>
    <t>id</t>
  </si>
  <si>
    <t>refvolume</t>
  </si>
  <si>
    <t>refvolumeunit</t>
  </si>
  <si>
    <t>newnotes</t>
  </si>
  <si>
    <t>DOI: 10.1021/ma201063t</t>
  </si>
  <si>
    <t>10.1021/ma201063t</t>
  </si>
  <si>
    <t>poly(lactic acid)</t>
  </si>
  <si>
    <t>polymer</t>
  </si>
  <si>
    <t>{[][&lt;]OC(=O)C(C)[&gt;][]}</t>
  </si>
  <si>
    <t>PLA</t>
  </si>
  <si>
    <t>poly(6-methyl-ε-caprolactone)</t>
  </si>
  <si>
    <t>{[][&lt;]OC(C)CCCCC(=O)[&gt;][]}</t>
  </si>
  <si>
    <t>PMCL</t>
  </si>
  <si>
    <t>Type 2</t>
  </si>
  <si>
    <t>Small-angle X-ray scattering of triblock copolymer</t>
  </si>
  <si>
    <t>Celsius</t>
  </si>
  <si>
    <t>å</t>
  </si>
  <si>
    <t>10.1021/ma200205j</t>
  </si>
  <si>
    <t>poly(methyl acrylate)</t>
  </si>
  <si>
    <t>{[][$]CC(C(OC)=O)(C)[$][]}</t>
  </si>
  <si>
    <t>PMA</t>
  </si>
  <si>
    <t>silicon dioxide</t>
  </si>
  <si>
    <t>other</t>
  </si>
  <si>
    <t>SiO2</t>
  </si>
  <si>
    <t>Type 1</t>
  </si>
  <si>
    <t>Solubility parameters</t>
  </si>
  <si>
    <t>DOI: 10.1021/ef502918t ; DOI: 10.1021/ma035830m</t>
  </si>
  <si>
    <t>2-butanone</t>
  </si>
  <si>
    <t>solvent</t>
  </si>
  <si>
    <t>MEK</t>
  </si>
  <si>
    <t>10.1021/ma301193h</t>
  </si>
  <si>
    <t>water</t>
  </si>
  <si>
    <t>H2O</t>
  </si>
  <si>
    <t>poly(ethylene oxide)</t>
  </si>
  <si>
    <t>{[][&lt;]CCO[&gt;][]}</t>
  </si>
  <si>
    <t>PEO</t>
  </si>
  <si>
    <t>Dynamic mechanical analysis</t>
  </si>
  <si>
    <t>10.1021/ma401345n</t>
  </si>
  <si>
    <t>polythiophene</t>
  </si>
  <si>
    <t>{[][&lt;]C=1SC(=CC1)[&gt;][]}</t>
  </si>
  <si>
    <t>PT</t>
  </si>
  <si>
    <t>tetrahydrofuran</t>
  </si>
  <si>
    <t>THF</t>
  </si>
  <si>
    <t>Molecular dynamics simulation</t>
  </si>
  <si>
    <t>Kelvin</t>
  </si>
  <si>
    <t>nm³</t>
  </si>
  <si>
    <t>poly(3-methylthiophene)</t>
  </si>
  <si>
    <t>{[][&lt;]C1=CC(C)=C(S1)[&gt;][]}</t>
  </si>
  <si>
    <t>P3MT</t>
  </si>
  <si>
    <t>poly(3-butylthiophene)</t>
  </si>
  <si>
    <t>{[][&lt;]C=1SC(=CC1CCCC)[&gt;][]}</t>
  </si>
  <si>
    <t>P3BT</t>
  </si>
  <si>
    <t>poly(3-hexylthiophene)</t>
  </si>
  <si>
    <t>{[][&lt;]C=1SC(=CC1CCCCCC)[&gt;][]}</t>
  </si>
  <si>
    <t>P3HT</t>
  </si>
  <si>
    <t>poly(3-octylthiophene)</t>
  </si>
  <si>
    <t>{[][&lt;]C=1SC(=CC1CCCCCCCC)[&gt;][]}</t>
  </si>
  <si>
    <t>P3OT</t>
  </si>
  <si>
    <t>poly(3-dodecylthiophene)</t>
  </si>
  <si>
    <t>{[][&lt;]C=1SC(=CC1CCCCCCCCCCCC)[&gt;][]}</t>
  </si>
  <si>
    <t>P3DDT</t>
  </si>
  <si>
    <t>DOI: 10.1021/ma00203a026</t>
  </si>
  <si>
    <t>10.1021/ma502192k</t>
  </si>
  <si>
    <t>polystyrene</t>
  </si>
  <si>
    <t>{[][$]CC(C=1C=CC=CC1)[$][]}</t>
  </si>
  <si>
    <t>PS</t>
  </si>
  <si>
    <t>poly(4-hydroxystyrene)</t>
  </si>
  <si>
    <t>{[][$]CC(C1=CC=C(O)C=C1)[$][]}</t>
  </si>
  <si>
    <t>PHS</t>
  </si>
  <si>
    <t>10.1021/ma102867d</t>
  </si>
  <si>
    <t>Differential scanning calorimetry</t>
  </si>
  <si>
    <t>10.1021/ma302010j</t>
  </si>
  <si>
    <t>polybutadiene</t>
  </si>
  <si>
    <t>{[][$]CC=CC[$],[$]CC(C=C)[$][]}</t>
  </si>
  <si>
    <t>PB</t>
  </si>
  <si>
    <t>Light scattering</t>
  </si>
  <si>
    <t>See Eq. 11 and Table 1 for concentration dependence.</t>
  </si>
  <si>
    <t>CSi({[$][$]CC=CC[$],[$]CC(C=C)[$][]})({[$][$]CC=CC[$],[$]CC(C=C)[$][]}){[$][$]CC=CC[$],[$]CC(C=C)[$][]}</t>
  </si>
  <si>
    <t>See Eq. 11 and Table 1 for concentration dependence. Polybutadiene is a three-arm star polymer; the exact chemistry of the core is an educated guess.</t>
  </si>
  <si>
    <t>kg/mol</t>
  </si>
  <si>
    <t>DOI: 10.1016/j.eurpolymj.2007.08.002</t>
  </si>
  <si>
    <t>polyisoprene</t>
  </si>
  <si>
    <t>‘{[][&lt;]CC(C)(C=C)[&gt;],[&lt;]CC(C(C)=C)[&gt;],[&lt;]CC(C)=CC[&gt;][]}’</t>
  </si>
  <si>
    <t>PI</t>
  </si>
  <si>
    <t>cyclohexane</t>
  </si>
  <si>
    <t>Cy</t>
  </si>
  <si>
    <t>CCC(C){[&gt;][&lt;]CC(C)(C=C)[&gt;],[&lt;]CC(C(C)=C)[&gt;],[&lt;]CC(C)=CC[&gt;],[&lt;]CC(C(C)C[$1])[&gt;],[&lt;]CC(C(C)([$1])C)[&gt;], [&lt;][Si](C)(C)[$1]; [&lt;][Si](C)C [[]}</t>
  </si>
  <si>
    <t>See Eq. 11 and Table 1 for concentration dependence. Polyisoprene is a branched polymer.</t>
  </si>
  <si>
    <t>10.1021/ma301047y</t>
  </si>
  <si>
    <t>poly(4-tert-butylstyrene)</t>
  </si>
  <si>
    <t>{[][$]C(C1=CC=C(C(C)(C)C)C=C1)C[$][]}</t>
  </si>
  <si>
    <t>PtBS</t>
  </si>
  <si>
    <t>poly(methyl methacrylate)</t>
  </si>
  <si>
    <t>PMMA</t>
  </si>
  <si>
    <t>poly(4-tert-butylstyrene-b-methyl methacrylate)</t>
  </si>
  <si>
    <t>{[][$][C:1]([C:1]1=[C:1][C:1]=[C:1]([C:1]([C:1])([C:1])[C:1])[C:1]=[C:1]1)[C:1][$][$]}{[$][$][C:2][C:2]([C:2]([O:2][C:2])=[O:2])([C:2])[$][]}</t>
  </si>
  <si>
    <t>Dynamic mechanical analysis and small-angle X-ray scattering of diblock copolymer</t>
  </si>
  <si>
    <t>10.1021/ma500232y</t>
  </si>
  <si>
    <t>poly(methacrylic acid)</t>
  </si>
  <si>
    <t>{[][$]C(C(O)=O)(C)C[$][]}</t>
  </si>
  <si>
    <t>PMAA</t>
  </si>
  <si>
    <t>Small-angle X-ray scattering of diblock copolymer</t>
  </si>
  <si>
    <t>10.1021/ma2024683</t>
  </si>
  <si>
    <t>poly(acrylic acid)</t>
  </si>
  <si>
    <t>{[][$]CC(C(O)=O)[$][]}</t>
  </si>
  <si>
    <t>PAA</t>
  </si>
  <si>
    <t>polyacrylamide</t>
  </si>
  <si>
    <t>{[][$]C(C(=O)N)C[$][]}</t>
  </si>
  <si>
    <t>PAAm</t>
  </si>
  <si>
    <t>Swelling of polymer film</t>
  </si>
  <si>
    <t>10.1021/ma400597j</t>
  </si>
  <si>
    <t>chloroform</t>
  </si>
  <si>
    <t>DOI: 10.1021/ma301238j</t>
  </si>
  <si>
    <t>10.1021/ma401719p</t>
  </si>
  <si>
    <t>poly(trimethylsilylstyrene)</t>
  </si>
  <si>
    <t>{[][$]CC(C1=CC=C([Si](C)(C)C)C=C1)[$][]}</t>
  </si>
  <si>
    <t>PTMSS</t>
  </si>
  <si>
    <t>10.1021/ma101898c</t>
  </si>
  <si>
    <t>deuterated poly(ethylene-alt-propylene)</t>
  </si>
  <si>
    <t>{[][&lt;]C([2H])([2H])C([2H])([2H])C([2H])(C([2H])([2H])[2H])C([2H])([2H])[&gt;][]}</t>
  </si>
  <si>
    <t>dPEP</t>
  </si>
  <si>
    <t>poly(ethylene-alt-propylene)</t>
  </si>
  <si>
    <t>{[][&lt;]CC(C)CC[&gt;][]}</t>
  </si>
  <si>
    <t>PEP</t>
  </si>
  <si>
    <t>g/mol</t>
  </si>
  <si>
    <t>Small-angle neutron scattering of blend</t>
  </si>
  <si>
    <t>10.1021/ma4004538</t>
  </si>
  <si>
    <t>Small-angle X-ray scattering of blend</t>
  </si>
  <si>
    <t>Molecular mass for PMMA ranges from 29.2 to 42.8 kg/mol</t>
  </si>
  <si>
    <t>DOI: 10.1016/0032-3861(95)93654-5</t>
  </si>
  <si>
    <t>10.1021/ma301531a</t>
  </si>
  <si>
    <t>poly(ε-caprolactone)</t>
  </si>
  <si>
    <t>{[][&lt;]OCCCCCC(=O)[&gt;][]}</t>
  </si>
  <si>
    <t>PCL</t>
  </si>
  <si>
    <t>Not specified</t>
  </si>
  <si>
    <t>K</t>
  </si>
  <si>
    <t>10.1021/ma4020164</t>
  </si>
  <si>
    <t>poly(cyclohexylethylene)</t>
  </si>
  <si>
    <t>{[][$]C(C1CCCCC1)C[$][]}</t>
  </si>
  <si>
    <t>PCHE</t>
  </si>
  <si>
    <t>Dynamic mechanical analysis and differential scanning calorimetry</t>
  </si>
  <si>
    <t>10.1021/ma401090q</t>
  </si>
  <si>
    <t>poly(styrene-ran-acrylonitrile)</t>
  </si>
  <si>
    <t>{[][$]CC(C#N)[$],[$]CC(c1ccccc1)[$][]}</t>
  </si>
  <si>
    <t>SAN</t>
  </si>
  <si>
    <t>deuterated poly(methyl methacrylate)</t>
  </si>
  <si>
    <t>{[][$]C([2H])([2H])C(C(OC([2H])([2H])[2H])=O)(C([2H])([2H])[2H])[$][]}</t>
  </si>
  <si>
    <t>dPMMA</t>
  </si>
  <si>
    <t>Small-angle-neutron scattering of blend</t>
  </si>
  <si>
    <t>10.1021/ma101421s</t>
  </si>
  <si>
    <t>poly(vinyl methyl ether)</t>
  </si>
  <si>
    <t>‘{[][$]CC(OC)[$][]}’</t>
  </si>
  <si>
    <t>PVME</t>
  </si>
  <si>
    <t>Type 5</t>
  </si>
  <si>
    <t>See Eq. 7.</t>
  </si>
  <si>
    <t>carbon dioxide</t>
  </si>
  <si>
    <t>CO2</t>
  </si>
  <si>
    <t>Carbon dioxide is supercritical.</t>
  </si>
  <si>
    <t>10.1021/ma500905n</t>
  </si>
  <si>
    <t>poly(hydroxyethyl acrylate)</t>
  </si>
  <si>
    <t>{[][$]CC(C(=O)OCCO)[$][]}</t>
  </si>
  <si>
    <t>kDa</t>
  </si>
  <si>
    <t>poly(octyl acrylate)</t>
  </si>
  <si>
    <t>{[][$]C(C(=O)OCCCCCCCC)C[$][]}</t>
  </si>
  <si>
    <t>10.1021/ma401450w</t>
  </si>
  <si>
    <t>poly(butyl methacrylate)</t>
  </si>
  <si>
    <t>{[][$]C(C)(C(=O)OCCCC)C[$][]}</t>
  </si>
  <si>
    <t>PbMA</t>
  </si>
  <si>
    <t>1-butyl-3-methylimidazolium bis(trifluoromethylsulfonyl)imide</t>
  </si>
  <si>
    <t>[BMIm][TFSI]</t>
  </si>
  <si>
    <t>Small-angle neutron scattering of solution</t>
  </si>
  <si>
    <t>10.1021/ma201288a</t>
  </si>
  <si>
    <t>deuterated poly(butylene oxide)</t>
  </si>
  <si>
    <t>{[][&lt;]C([2H])([2H])C([2H])(C([2H])([2H])C([2H])([2H])[2H])O[&gt;][]}</t>
  </si>
  <si>
    <t>dPBO</t>
  </si>
  <si>
    <t>poly(butylene oxide)</t>
  </si>
  <si>
    <t>{[][&lt;]CC(CC)O[&gt;][]}</t>
  </si>
  <si>
    <t>PBO</t>
  </si>
  <si>
    <t>Anaylsis done using a Zimm plot.</t>
  </si>
  <si>
    <t>deuterated poly(hexylene oxide)</t>
  </si>
  <si>
    <t>{[][&lt;]C([2H])([2H])C([2H])(C([2H])([2H])C([2H])([2H])C([2H])([2H])C([2H])([2H])[2H])O[&gt;][]}</t>
  </si>
  <si>
    <t>dPHO</t>
  </si>
  <si>
    <t>poly(hexylene oxide)</t>
  </si>
  <si>
    <t>{[][&lt;]CC(CCCC)O[&gt;][]}</t>
  </si>
  <si>
    <t>PHO</t>
  </si>
  <si>
    <t>deuterated poly(octylene oxide)</t>
  </si>
  <si>
    <t>‘{[][&lt;]C([2H])([2H])C([2H])(C([2H])([2H])C([2H])([2H])C([2H])([2H])C([2H])([2H])C([2H])([2H])C([2H])([2H])[2H])O[&gt;][]}’</t>
  </si>
  <si>
    <t>dPOO</t>
  </si>
  <si>
    <t>poly(octylene oxide)</t>
  </si>
  <si>
    <t>{[][&lt;]CC(CCCCCC)O[&gt;][]}</t>
  </si>
  <si>
    <t>POO</t>
  </si>
  <si>
    <t>g.mol</t>
  </si>
  <si>
    <t>Anaylsis done using Random Phase Approximation.</t>
  </si>
  <si>
    <t>10.1021/ma400218e</t>
  </si>
  <si>
    <t>1-ethyl-3-methylimidazolium bis(trifluoromethanesulfonyl)amide</t>
  </si>
  <si>
    <t>[EMIm][TFSA]</t>
  </si>
  <si>
    <t>Poly(ethylene oxide) is a tetra-arm gel.</t>
  </si>
  <si>
    <t>1-ethyl-3-methylimidazolium bis(fluorosulfonyl)amide</t>
  </si>
  <si>
    <t>[EMIm][FSA]</t>
  </si>
  <si>
    <t>10.1021/ma1027752</t>
  </si>
  <si>
    <t>Da</t>
  </si>
  <si>
    <t>Cloud point measurement of solution</t>
  </si>
  <si>
    <t>DOI: 10.1021/ma062516u</t>
  </si>
  <si>
    <t>10.1021/ma1006792</t>
  </si>
  <si>
    <t>poly(4-vinylpyridine)</t>
  </si>
  <si>
    <t>{[][$]CC(C1=CC=NC=C1)[$][]}</t>
  </si>
  <si>
    <t>P4VP</t>
  </si>
  <si>
    <t>poly(styrene-b-4-vinylpyridine)</t>
  </si>
  <si>
    <t>{[][$][C:1][C:1]([C:1]=1[C:1]=[C:1][C:1]=[C:1][C:1]1)[$][$]}{[$][$][C:2][C:2]([C:2]1=[C:2][C:2]=[N:2][C:2]=[C:2]1)[$][]}</t>
  </si>
  <si>
    <t>cm³/mol</t>
  </si>
  <si>
    <t>DOI: 10.1063/1.469130</t>
  </si>
  <si>
    <t>10.1021/ma400098u</t>
  </si>
  <si>
    <t>{[][$]CC(C)=CC[$],[$]CC(C(C)=C)[$],[$]CC(C=C)(C)[$][]}</t>
  </si>
  <si>
    <t>ISBN: 0-387-31235-8</t>
  </si>
  <si>
    <t>10.1021/ma401957s</t>
  </si>
  <si>
    <t>polydimethylsiloxane</t>
  </si>
  <si>
    <t>{[][&lt;]O[Si](C)(C)[&gt;][]}</t>
  </si>
  <si>
    <t>PDMS</t>
  </si>
  <si>
    <t>10.1021/ma5018154</t>
  </si>
  <si>
    <t>See Eq. 14.</t>
  </si>
  <si>
    <t>See Eq. 15.</t>
  </si>
  <si>
    <t>DOI: 10.1021/ma401090q</t>
  </si>
  <si>
    <t>DOI: 10.1021/ma702733f</t>
  </si>
  <si>
    <t>10.1021/ma400078y</t>
  </si>
  <si>
    <t>polystyrenesulfonate</t>
  </si>
  <si>
    <t>{[][$]CC(C1=CC=C(S(O)(=O)=O)C=C1)[$][]}</t>
  </si>
  <si>
    <t>PSS</t>
  </si>
  <si>
    <t>Small-angle neutron scattering of diblock copolymer</t>
  </si>
  <si>
    <t>Analysis done using domain spacing of poly(styrenesultonate-b-methylbutylene).</t>
  </si>
  <si>
    <t>10.1021/ma1003776</t>
  </si>
  <si>
    <t>poly(butyl acrylate)</t>
  </si>
  <si>
    <t>{[][$]CC(C(=O)OCCCC)[$][]}</t>
  </si>
  <si>
    <t>PBA</t>
  </si>
  <si>
    <t>poly(benzyl methacrylate)</t>
  </si>
  <si>
    <t>{[][$]C(C)(C(OCC1=CC=CC=C1)=O)C[$][]}</t>
  </si>
  <si>
    <t>PbnMA</t>
  </si>
  <si>
    <t>χ min is from Leibler formula and  χ max is from Fredrickson-Helfand formula.</t>
  </si>
  <si>
    <t>10.1021/ma5006233</t>
  </si>
  <si>
    <t>10.1021/ma402598r</t>
  </si>
  <si>
    <t>diethyl phthalate</t>
  </si>
  <si>
    <t>DEP</t>
  </si>
  <si>
    <t>dibutyl phthalate</t>
  </si>
  <si>
    <t>DBP</t>
  </si>
  <si>
    <t>10.1021/ma200429v</t>
  </si>
  <si>
    <t>poly(2-vinylpyridine)</t>
  </si>
  <si>
    <t>{[][$]C(C1=NC=CC=C1)C[$][]}</t>
  </si>
  <si>
    <t>P2VP</t>
  </si>
  <si>
    <t>DOI: 10.1021/ma901313a</t>
  </si>
  <si>
    <t>10.1021/ma500716f</t>
  </si>
  <si>
    <t>10.1021/ma101983s</t>
  </si>
  <si>
    <t>poly(allylamine hydrochloride)</t>
  </si>
  <si>
    <t>{[][&lt;]C(CN)C[&gt;][&lt;]}.Cl</t>
  </si>
  <si>
    <t>PAH</t>
  </si>
  <si>
    <t>10.1021/ma302069s</t>
  </si>
  <si>
    <t>poly(N,N-dimethylacrylamide)</t>
  </si>
  <si>
    <t>{[][$]C(C(=O)N(C)C)C[$][]}</t>
  </si>
  <si>
    <t>PDMA</t>
  </si>
  <si>
    <t>polyethylene</t>
  </si>
  <si>
    <t>{[][&lt;]CCCC[&gt;],[&lt;]CC(CC)[&gt;][]}</t>
  </si>
  <si>
    <t>PE</t>
  </si>
  <si>
    <t>ÍÛ³</t>
  </si>
  <si>
    <t>10.1021/ma302220b</t>
  </si>
  <si>
    <t>poly(3-(2-ethylhexyl)thiophene)</t>
  </si>
  <si>
    <t>{[][&lt;]C=1SC(=CC1CC(CCCC)CC)[&gt;][]}</t>
  </si>
  <si>
    <t>P3EHT</t>
  </si>
  <si>
    <t>10.1021/ma402370j</t>
  </si>
  <si>
    <t>poly[N-(4-vinylbenzyl)-N,N-diethylamine]</t>
  </si>
  <si>
    <t>{[][$]C(C1=CC=C(CN(CC)CC)C=C1)C[$][]}</t>
  </si>
  <si>
    <t>PVEA</t>
  </si>
  <si>
    <t>DOI: 10.1021/ma60048a040</t>
  </si>
  <si>
    <t>10.1021/ma301460h</t>
  </si>
  <si>
    <t>poly(vinylidene fluoride)</t>
  </si>
  <si>
    <t>{[][$]C(F)(F)C[$][]}</t>
  </si>
  <si>
    <t>PVDF</t>
  </si>
  <si>
    <t xml:space="preserve">Citation: Zaborski, M.; Kosmalska, A. Kautsch. Gummi Kunstst. 2005, 58, 354– 357. </t>
  </si>
  <si>
    <t>10.1021/ma500240v</t>
  </si>
  <si>
    <t>carboxylated nitrile rubber</t>
  </si>
  <si>
    <t>XNBR</t>
  </si>
  <si>
    <t>toluene</t>
  </si>
  <si>
    <t>See Eq. 4 and 1.</t>
  </si>
  <si>
    <t>DOI: 10.1021/ma00186a046</t>
  </si>
  <si>
    <t>10.1021/ma402200d</t>
  </si>
  <si>
    <t xml:space="preserve">poly(2,6-dimethyl-1,4-phenylene oxide) </t>
  </si>
  <si>
    <t>{[][&lt;]OC1=C(C)C=C(C=C1C)[&gt;][]}</t>
  </si>
  <si>
    <t>PXE</t>
  </si>
  <si>
    <t>Forward recoil spectrometry</t>
  </si>
  <si>
    <t>ISBN: 0-19-518101-8</t>
  </si>
  <si>
    <t>10.1021/ma501396j</t>
  </si>
  <si>
    <t>DOI: 10.1209/epl/i2001-00205-7</t>
  </si>
  <si>
    <t>10.1021/ma202196c</t>
  </si>
  <si>
    <t>DOI: 10.1021/ma011958x</t>
  </si>
  <si>
    <t>10.1021/ma400533w</t>
  </si>
  <si>
    <t>{[][&lt;]CC(C=C)[&gt;][]}</t>
  </si>
  <si>
    <t>DOI: 10.1021/ja9083804</t>
  </si>
  <si>
    <t>10.1021/ma501957b</t>
  </si>
  <si>
    <t>Poly(lactic acid) is racemic.</t>
  </si>
  <si>
    <t>DOI: 10.1002/polb.10291</t>
  </si>
  <si>
    <t>DOI: 10.1021/ma020148y</t>
  </si>
  <si>
    <t>{[][$]CC[$][]}</t>
  </si>
  <si>
    <t>DOI: 10.1021/ma00130a012</t>
  </si>
  <si>
    <t>{[][$]CC(C)=CC[$],[$]CC(C(C)=C)[$][]}</t>
  </si>
  <si>
    <t>Found error in reference volume</t>
  </si>
  <si>
    <t>DOI: 10.1021/ja0278584</t>
  </si>
  <si>
    <t>m³</t>
  </si>
  <si>
    <t>DOI: 10.1021/ma00205a033 ; DOI: 10.1021/ma8013004</t>
  </si>
  <si>
    <t>10.1021/ma400384a</t>
  </si>
  <si>
    <t>poly(propylene)</t>
  </si>
  <si>
    <t>{[][&lt;]C(C)C[&gt;][]}</t>
  </si>
  <si>
    <t>PP</t>
  </si>
  <si>
    <t>DOI: 10.1678/rheology.41.83</t>
  </si>
  <si>
    <t>10.1021/ma400957p</t>
  </si>
  <si>
    <t>DOI: 10.1021/ma0497761</t>
  </si>
  <si>
    <t>10.1021/ma101529b</t>
  </si>
  <si>
    <t>acetone</t>
  </si>
  <si>
    <t>carbon disulfide</t>
  </si>
  <si>
    <t>Not Specified</t>
  </si>
  <si>
    <t>χ appears to be average of two reported valuess (0.44 and 0.495).</t>
  </si>
  <si>
    <t>DOI: 10.1021/ma50006a079 ; DOI: 10.1016/j.polymer.2007.09.039</t>
  </si>
  <si>
    <t>10.1021/ma100743s</t>
  </si>
  <si>
    <t>Melt titration</t>
  </si>
  <si>
    <t>DOI: 10.1002/pol.1980.130180607</t>
  </si>
  <si>
    <t>10.1021/ma301620a</t>
  </si>
  <si>
    <t>DOI: 10.1021/ma00127a050</t>
  </si>
  <si>
    <t>10.1021/ma301739j</t>
  </si>
  <si>
    <t>DOI: 10.1021/ma950840b</t>
  </si>
  <si>
    <t>Direct nonradiative energy transfer</t>
  </si>
  <si>
    <t>should be deleted since duplicate</t>
  </si>
  <si>
    <t>10.1021/ma200855r</t>
  </si>
  <si>
    <t>(6,6)-phenyl C61 butyric acid methyl ester</t>
  </si>
  <si>
    <t>PCBM</t>
  </si>
  <si>
    <t>10.1021/ma1025658</t>
  </si>
  <si>
    <t>n-tridecane</t>
  </si>
  <si>
    <t>C13</t>
  </si>
  <si>
    <t>perfluorinated copolymer AF1600</t>
  </si>
  <si>
    <t>{[][$]C(F)(F)C(F)(F)[$],[$]C1(F)OC(C(F)(F)F)(C(F)(F)F)OC1(F)[$][]}</t>
  </si>
  <si>
    <t>AF1600</t>
  </si>
  <si>
    <t>Type 3</t>
  </si>
  <si>
    <t>Inverse gas chromatography</t>
  </si>
  <si>
    <t>n-tetradecane</t>
  </si>
  <si>
    <t>C14</t>
  </si>
  <si>
    <t>n-pentadecane</t>
  </si>
  <si>
    <t>n-hexadecane</t>
  </si>
  <si>
    <t>DOI: 10.1002/(SICI)1099-0488(20000201)38:3&lt;369::AID-POLB3&gt;3.0.CO;2-W</t>
  </si>
  <si>
    <t>DOI: 10.1021/ma070712a</t>
  </si>
  <si>
    <t>10.1021/ma400269j</t>
  </si>
  <si>
    <t>poly[(9,9-dioctylfluorenyl-2,7-diyl)-co-5,5-(4′,7′-di-2-thienyl-2′,1′,3′-benzothiadiazole]</t>
  </si>
  <si>
    <t>{[][&lt;]C1=CC=C2C(=C1)C(CCCCCCCC)(CCCCCCCC)C1=C2C=CC(=C1)C=1SC(=CC1)C1=CC=C(C=2C1=NSN2)C=1SC(=CC1)[&gt;][]}</t>
  </si>
  <si>
    <t>APFO-3</t>
  </si>
  <si>
    <t>Contact angles and solubility parameters</t>
  </si>
  <si>
    <t>DOI: 10.1016/0021-9797(77)90009-1</t>
  </si>
  <si>
    <t>silicon oxide</t>
  </si>
  <si>
    <t>SiOx</t>
  </si>
  <si>
    <t>Calculation performed in main paper using measured quantites from reference.</t>
  </si>
  <si>
    <t>10.1021/ma3019188</t>
  </si>
  <si>
    <t>n,n-dimethylformide</t>
  </si>
  <si>
    <t>poly(trifluoroethyl methacrylate)</t>
  </si>
  <si>
    <t>{[][$]CC(C(OCC(F)(F)F)=O)(C)[$][]}</t>
  </si>
  <si>
    <t>PTFEMA</t>
  </si>
  <si>
    <t>DOI: 10.1021/ma00028a025</t>
  </si>
  <si>
    <t>10.1021/ma100925c</t>
  </si>
  <si>
    <t>ISBN: 0-471-16628-6</t>
  </si>
  <si>
    <t>10.1021/ma102378w</t>
  </si>
  <si>
    <t>DOI: 10.1021/ma020647z</t>
  </si>
  <si>
    <t>10.1021/ma302602u</t>
  </si>
  <si>
    <t>poly(ferrocenylmethylethylsilane)</t>
  </si>
  <si>
    <t>{[][&lt;][C-]1C=CC=C1.[Fe+2].[CH-]1C=CC=C1[Si](C)(C)[&gt;][]}</t>
  </si>
  <si>
    <t>PFS</t>
  </si>
  <si>
    <t>DOI: 10.1021/ma011696z</t>
  </si>
  <si>
    <t>DOI: 10.1021/ma00073a044</t>
  </si>
  <si>
    <t>10.1021/ma4011846</t>
  </si>
  <si>
    <t>DOI: 10.1021/ma025615q</t>
  </si>
  <si>
    <t>deuterated polystyrene</t>
  </si>
  <si>
    <t>‘{[][$]C([2H])([2H])C([2H])(C=1C([2H])=C([2H])C([2H])=C([2H])C1([2H]))[$][]}’</t>
  </si>
  <si>
    <t>dPS</t>
  </si>
  <si>
    <t>poly(n-pentyl methacrylate)</t>
  </si>
  <si>
    <t>{[][$]CC(C)(C(=O)OCCCCC)[$][]}</t>
  </si>
  <si>
    <t>PnPMA</t>
  </si>
  <si>
    <t>DOI: 10.1021/ma991470k ; DOI: 10.1063/1.471656</t>
  </si>
  <si>
    <t>10.1021/ma400944z</t>
  </si>
  <si>
    <t>10.1021/ma500625k</t>
  </si>
  <si>
    <t>DOI: 10.1021/ma992118+</t>
  </si>
  <si>
    <t>10.1021/ma902651t</t>
  </si>
  <si>
    <t>ISBN: 978-90-367-3805-7</t>
  </si>
  <si>
    <t>poly(tert-butoxystyrene)</t>
  </si>
  <si>
    <t>{[][$]CC(C1=CC=C(OC(C)(C)C)C=C1)[$][]}</t>
  </si>
  <si>
    <t>PtBOS</t>
  </si>
  <si>
    <t>DOI: 10.1021/ma00205a033</t>
  </si>
  <si>
    <t>10.1021/ma401704m</t>
  </si>
  <si>
    <t>10.1021/ma501597g</t>
  </si>
  <si>
    <t>Small-angle X-ray scattering of diblock copolymer and differential scanning caloimetry</t>
  </si>
  <si>
    <t>DOI: 10.1016/0032-3861(94)90065-5</t>
  </si>
  <si>
    <t>DOI: 10.1021/jp710284e</t>
  </si>
  <si>
    <t>10.1021/ma3003664</t>
  </si>
  <si>
    <t>10.1021/ma102708b</t>
  </si>
  <si>
    <t>ISBN: 0-19-518101-8 ; DOI: 10.1016/0079-6700(95)00011-4 ; DOI: 10.1021/ma010804e</t>
  </si>
  <si>
    <t>10.1021/ma500314d</t>
  </si>
  <si>
    <t>10.1021/ma302357k</t>
  </si>
  <si>
    <t>poly(4-vinylbenzyltrimethylammonium chloride)</t>
  </si>
  <si>
    <t>{[][$]C(C=1C=CC(C[N+1](C)(C)C)=CC1)C[$][]}.[Cl-1]</t>
  </si>
  <si>
    <t>PVBTAmC</t>
  </si>
  <si>
    <t>DOI: 10.1021/am900514v</t>
  </si>
  <si>
    <t>10.1021/ma9022795</t>
  </si>
  <si>
    <t>polymerized soybean oil</t>
  </si>
  <si>
    <t>DOI: 10.1007/978-0-387-69002-5_19</t>
  </si>
  <si>
    <t>DOI: 10.1021/ma00004a022 ; DOI: 10.1143/JPSJ.56.233</t>
  </si>
  <si>
    <t>10.1021/ma401877c</t>
  </si>
  <si>
    <t>methanol</t>
  </si>
  <si>
    <t>poly(N-isopropylacrylamide)</t>
  </si>
  <si>
    <t>{[][$]CC(C(=O)NC(C)C)[$][]}</t>
  </si>
  <si>
    <t>PNIPAM</t>
  </si>
  <si>
    <t>DOI: 10.1051/jp2:1997217</t>
  </si>
  <si>
    <t>10.1021/ma500633b</t>
  </si>
  <si>
    <t>Small-angle neutron scattering of diblock copolymer and small-angle X-ray scattering of diblock copolymer</t>
  </si>
  <si>
    <t>DOI: 10.1021/ma991156q</t>
  </si>
  <si>
    <t>10.1021/ma102788v</t>
  </si>
  <si>
    <t>See Eqs. 4 and 5 of reference.</t>
  </si>
  <si>
    <t>DOI: 10.1021/ma951714a</t>
  </si>
  <si>
    <t>10.1021/ma902804e</t>
  </si>
  <si>
    <t>Dynamic mechanical analysis, transmission electron microscopy, small-angle neutron scattering, and small-angle X-ray scattering of diblock copolymer</t>
  </si>
  <si>
    <t>DOI: 10.1021/ma00073a044 ; DOI:  10.1021/ma00062a008</t>
  </si>
  <si>
    <t>Cloud point measurement of blend</t>
  </si>
  <si>
    <t>10.1021/ma500613c</t>
  </si>
  <si>
    <t>poly(norbornene)</t>
  </si>
  <si>
    <t>{[][&lt;]C1CC(CC1)C=C[&gt;][]}</t>
  </si>
  <si>
    <t>PNB</t>
  </si>
  <si>
    <t>DOI: 10.1021/ma00046a070</t>
  </si>
  <si>
    <t>10.1021/ma1007418</t>
  </si>
  <si>
    <t>poly(ethyl ethylene)</t>
  </si>
  <si>
    <t>{[][&lt;]CC(CC)[&gt;][]}</t>
  </si>
  <si>
    <t>PEE</t>
  </si>
  <si>
    <t>See Eq. 5 in reference for reference volume.</t>
  </si>
  <si>
    <t>DOI: 10.1021/ma00130a012 ; Citation: Rounds, N. A., Ph.D. Dissertation, University of Akron, 1970.</t>
  </si>
  <si>
    <t>10.1021/ma401033w</t>
  </si>
  <si>
    <t>10.1021/ma200747d</t>
  </si>
  <si>
    <t>10.1021/ma1023704</t>
  </si>
  <si>
    <t>poly{2,5-bis[(4-methoxyphenyl)oxycarbonyl]styrene}</t>
  </si>
  <si>
    <t>{[][$]C(C1=CC(C(=O)OC2=CC=C(OC)C=C2)=CC=C1C(=O)OC1=CC=C(OC)C=C1)C[$][]}</t>
  </si>
  <si>
    <t>PMPCS</t>
  </si>
  <si>
    <t>cm³</t>
  </si>
  <si>
    <t>10.1021/ma300365h</t>
  </si>
  <si>
    <t>Fluorescence measurements</t>
  </si>
  <si>
    <t>10.1021/ma3014614</t>
  </si>
  <si>
    <t>DOI: 10.1002/app.1987.070340307</t>
  </si>
  <si>
    <t>polycarbonate</t>
  </si>
  <si>
    <t>{[][&lt;]OC=1C=CC(=CC1)C(C)(C)C=1C=CC(=CC1)OC(=O)[&gt;][]}</t>
  </si>
  <si>
    <t>PC</t>
  </si>
  <si>
    <t>See table V in reference.</t>
  </si>
  <si>
    <t>DOI: 10.1016/0032-3861(95)93653-4</t>
  </si>
  <si>
    <t>poly(vinyl chloride)</t>
  </si>
  <si>
    <t>{[][$]C(Cl)C[$][]}</t>
  </si>
  <si>
    <t>PVC</t>
  </si>
  <si>
    <t>DOI: 10.1021/ma00113a010</t>
  </si>
  <si>
    <t>DOI: 10.1021/ma9009802</t>
  </si>
  <si>
    <t>poly(tert-butyl acrylate)</t>
  </si>
  <si>
    <t>{[][$]CC(C(=O)OC(C)(C)C)[$][]}</t>
  </si>
  <si>
    <t>PtBA</t>
  </si>
  <si>
    <t>DOI: 10.1021/ma991660v</t>
  </si>
  <si>
    <t>DOI: 10.1063/1.470749 ; DOI: 10.1002/1521-3900(200001)149:1&lt;99::AID-MASY99&gt;3.0.CO;2-X ; DOI: 10.1021/ma981665c ; DOI: 10.1021/ma030020w</t>
  </si>
  <si>
    <t>10.1021/ma101140m</t>
  </si>
  <si>
    <t>{[][$]CC=CC[$][]}</t>
  </si>
  <si>
    <t>Metastudy of order-disorder temperature</t>
  </si>
  <si>
    <t>DOI: 10.1021/ma991842p</t>
  </si>
  <si>
    <t>10.1021/ma200297f</t>
  </si>
  <si>
    <t>poly(ethylene-ran-butylene)</t>
  </si>
  <si>
    <t>{[][$]CC[$],[$]CC(CC)[$][]}</t>
  </si>
  <si>
    <t>PEB</t>
  </si>
  <si>
    <t>DOI: 10.1002/pi.1481</t>
  </si>
  <si>
    <t>poly(n-hexyl methacrylate)</t>
  </si>
  <si>
    <t>{[][$]CC(C)(C(=O)OCCCCCC)[$][]}</t>
  </si>
  <si>
    <t>PHMA</t>
  </si>
  <si>
    <t>Optical microscopy</t>
  </si>
  <si>
    <t>See table 4 in reference.</t>
  </si>
  <si>
    <t>DOI: 10.1002/bip.1972.360110704</t>
  </si>
  <si>
    <t>10.1021/ma101031t</t>
  </si>
  <si>
    <t>polyvinyl alcohol</t>
  </si>
  <si>
    <t>{[][$]C(O)C[$][]}</t>
  </si>
  <si>
    <t>PVA</t>
  </si>
  <si>
    <t>Phase diagram of the solution</t>
  </si>
  <si>
    <t>DOI: 10.1021/ma020227 +</t>
  </si>
  <si>
    <t>10.1021/ma100347k</t>
  </si>
  <si>
    <t>{[][$]CCCC[$][]}</t>
  </si>
  <si>
    <t>DOI: 10.1021/ma020227+</t>
  </si>
  <si>
    <t>10.1021/ma102470v</t>
  </si>
  <si>
    <t>DOI: 10.1126/science.1226046 ; DOI: 10.1021/ma0115489</t>
  </si>
  <si>
    <t>10.1021/ma501033a</t>
  </si>
  <si>
    <t>10.1021/ma301238j</t>
  </si>
  <si>
    <t>DOI: 10.1021/ma020651a</t>
  </si>
  <si>
    <t>10.1021/ma402187j</t>
  </si>
  <si>
    <t>DOI: 10.1021/ma001957p ; DOI: 10.1063/1.478122</t>
  </si>
  <si>
    <t>10.1021/ma402356z</t>
  </si>
  <si>
    <t>DOI: 10.1021/ma00210a032</t>
  </si>
  <si>
    <t>DOI: 10.1021/ma020754t</t>
  </si>
  <si>
    <t>10.1021/ma902805x</t>
  </si>
  <si>
    <t>Interfacial tension measurements</t>
  </si>
  <si>
    <t>10.1021/ma4021714</t>
  </si>
  <si>
    <t>Type 4</t>
  </si>
  <si>
    <t>DOI: 10.1016/0032-3861(94)90351-4</t>
  </si>
  <si>
    <t>10.1021/ma201151k</t>
  </si>
  <si>
    <t>10.1021/ma301402n</t>
  </si>
  <si>
    <t>Reported Eq. is χ/reference volume.</t>
  </si>
  <si>
    <t>DOI: 10.1103/PhysRevLett.57.1429</t>
  </si>
  <si>
    <t>10.1021/ma400765v</t>
  </si>
  <si>
    <t>DOI: 10.1021/bm025744e ; DOI: 10.1016/0142-9612(93)90154-T</t>
  </si>
  <si>
    <t>10.1021/ma300244u</t>
  </si>
  <si>
    <t>Osmotic pressure measurements</t>
  </si>
  <si>
    <t>DOI: 10.1021/ma062778w ; DOI: 10.1002/(SICI)1099-0488(199812)36:17&lt;3101::AID-POLB10&gt;3.0.CO;2-X</t>
  </si>
  <si>
    <t>10.1021/ma100400q</t>
  </si>
  <si>
    <t>DOI: 10.1021/ma062778w ; DOI: 10.1209/epl/i2001-00205-7</t>
  </si>
  <si>
    <t>DOI: 10.1021/ma062778w ; DOI: 10.1063/1.478122</t>
  </si>
  <si>
    <t>DOI: 10.1063/1.470749</t>
  </si>
  <si>
    <t>10.1021/ma202717p</t>
  </si>
  <si>
    <t>10.1021/ma100609k</t>
  </si>
  <si>
    <t>polyoctene</t>
  </si>
  <si>
    <t>{[][$]CC[$],[$]CC(CCCCCC)[$][]}</t>
  </si>
  <si>
    <t>PO</t>
  </si>
  <si>
    <t>See Eq. 5.</t>
  </si>
  <si>
    <t>DOI: 10.1002/polb.1995.090331109</t>
  </si>
  <si>
    <t>10.1021/ma202030z</t>
  </si>
  <si>
    <t>See Eq. 6 and Table 1 in reference.</t>
  </si>
  <si>
    <t>DOI: 10.1021/ma802598n</t>
  </si>
  <si>
    <t>10.1021/ma300711k</t>
  </si>
  <si>
    <t>Poly(propylene) is syndiotatic.</t>
  </si>
  <si>
    <t>DOI: 10.1021/ma1012946</t>
  </si>
  <si>
    <t>10.1021/ma1012946</t>
  </si>
  <si>
    <t>carbon tetrachloride</t>
  </si>
  <si>
    <t>Method likely solubility parameters.</t>
  </si>
  <si>
    <t>benzene</t>
  </si>
  <si>
    <t>chlorobenzene</t>
  </si>
  <si>
    <t>1,1,2-trichloroethane</t>
  </si>
  <si>
    <t>dichloromethane</t>
  </si>
  <si>
    <t>DCM</t>
  </si>
  <si>
    <t>xylene</t>
  </si>
  <si>
    <t>ethylene dichloride</t>
  </si>
  <si>
    <t>DOI: 10.1021/ma981055c</t>
  </si>
  <si>
    <t>10.1021/ma402526q</t>
  </si>
  <si>
    <t>DOI: 10.1021/ma00036a019</t>
  </si>
  <si>
    <t>10.1021/ma301487e</t>
  </si>
  <si>
    <t>DOI: 10.1021/ma971786x ; DOI: 10.1002/aic.690080416</t>
  </si>
  <si>
    <t>10.1021/ma2005876</t>
  </si>
  <si>
    <t>poly(hexafluoroisopropylidene diphthalic anhydride-alt-2,3,5,6-tetramethyl-1,4-diaminobenzene)</t>
  </si>
  <si>
    <t>{[][&lt;]N1C(=O)C2=C(C1=O)C=CC(=C2)C(C(F)(F)F)(C(F)(F)F)C1=CC=C2C(=C1)C(=O)N(C2=O)C1=C(C)C(C)=C(C(C)=C1C)[&gt;][]}</t>
  </si>
  <si>
    <t>6FDA-TMPD</t>
  </si>
  <si>
    <t>matrimid</t>
  </si>
  <si>
    <t>{[][&lt;]N1C(=O)C2=C(C1=O)C=CC(=C2)C(=O)C1=CC=C2C(=C1)C(=O)N(C2=O)C1=CC=C(C=C1)C1(C)C=2C(C(C)(C)C1)=CC(=CC2)[&gt;][]}</t>
  </si>
  <si>
    <t>oxygen</t>
  </si>
  <si>
    <t>O2</t>
  </si>
  <si>
    <t>10.1021/ma201259w</t>
  </si>
  <si>
    <t>poly(ethyl methacrylate)</t>
  </si>
  <si>
    <t>{[][$]CC(C(OCC)=O)(C)[$][]}</t>
  </si>
  <si>
    <t>PEMA</t>
  </si>
  <si>
    <t>DOI: 10.1021/ma0526037</t>
  </si>
  <si>
    <t>10.1021/ma500561q</t>
  </si>
  <si>
    <t>10.1021/acs.macromol.5b00518</t>
  </si>
  <si>
    <t>10.1021/ma502417w</t>
  </si>
  <si>
    <t>poly(diethylhexyloxy-p-phenylenevinylene)</t>
  </si>
  <si>
    <t>{[][&lt;]C=CC1=C(OCC(CCCC)CC)C=C(C(OCC(CCCC)CC)=C1)[&gt;][]}</t>
  </si>
  <si>
    <t>Small-angle X-ray scattering of diblock copolymer and blend</t>
  </si>
  <si>
    <t>DOI: 10.1021/ma4020164 ; DOI: 10.1016/S0368-2048(01)00329-2</t>
  </si>
  <si>
    <t>See SI of first reference.</t>
  </si>
  <si>
    <t>10.1021/acs.macromol.5b01261</t>
  </si>
  <si>
    <t>DOI: 10.1021/la00089a009 ; DOI: 10.1039/TF9585401742</t>
  </si>
  <si>
    <t>10.1021/acs.macromol.5b00510</t>
  </si>
  <si>
    <t>Viscometer</t>
  </si>
  <si>
    <t>DOI: 10.1021/la00089a009 ; DOI: 10.5254/1.3535155</t>
  </si>
  <si>
    <t>DOI: 10.1021/ja2119496 ; ISBN: 9780849301766</t>
  </si>
  <si>
    <t>10.1021/ma502304k</t>
  </si>
  <si>
    <t>poly(propylene oxide)</t>
  </si>
  <si>
    <t>{[][&lt;]OC(C)C[&gt;][]}</t>
  </si>
  <si>
    <t>PPO</t>
  </si>
  <si>
    <t>2,6-diaminotriazine</t>
  </si>
  <si>
    <t>DAT</t>
  </si>
  <si>
    <t>ISBN: 9780849301766</t>
  </si>
  <si>
    <t>thymine</t>
  </si>
  <si>
    <t>Thy</t>
  </si>
  <si>
    <t>thy</t>
  </si>
  <si>
    <t>10.1021/acs.macromol.5b00277</t>
  </si>
  <si>
    <t>Data fit with renormalized one-loop theory in disordered phase. Poly(lactic acid) is racemic.</t>
  </si>
  <si>
    <t>Differential scanning calorimetry, dynamic mechanical analysis, and small-angle X-ray scattering of diblock copolymer</t>
  </si>
  <si>
    <t>Calculation assumed ODT based on Eq. 1. Poly(lactic acid) is racemic.</t>
  </si>
  <si>
    <t>Calculation assumed mean-field ODT. Poly(lactic acid) is racemic.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</si>
</sst>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444746"/>
      <name val="Roboto"/>
    </font>
    <font>
      <sz val="11.0"/>
      <color rgb="FF212121"/>
      <name val="Arial"/>
    </font>
    <font>
      <sz val="11.0"/>
      <color rgb="FF212121"/>
      <name val="Monospace"/>
    </font>
    <font>
      <sz val="13.0"/>
      <color rgb="FF000000"/>
      <name val="Roboto"/>
    </font>
    <font>
      <sz val="9.0"/>
      <color rgb="FF1F1F1F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Font="1"/>
    <xf quotePrefix="1"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3" fontId="2" numFmtId="0" xfId="0" applyFont="1"/>
    <xf borderId="0" fillId="2" fontId="2" numFmtId="0" xfId="0" applyFont="1"/>
    <xf borderId="0" fillId="2" fontId="1" numFmtId="0" xfId="0" applyAlignment="1" applyFont="1">
      <alignment readingOrder="0"/>
    </xf>
    <xf borderId="0" fillId="4" fontId="5" numFmtId="0" xfId="0" applyAlignment="1" applyFont="1">
      <alignment readingOrder="0"/>
    </xf>
    <xf borderId="0" fillId="6" fontId="2" numFmtId="0" xfId="0" applyFill="1" applyFont="1"/>
    <xf borderId="0" fillId="3" fontId="1" numFmtId="0" xfId="0" applyAlignment="1" applyFont="1">
      <alignment readingOrder="0"/>
    </xf>
    <xf borderId="0" fillId="2" fontId="2" numFmtId="1" xfId="0" applyFont="1" applyNumberFormat="1"/>
    <xf borderId="0" fillId="0" fontId="2" numFmtId="1" xfId="0" applyFont="1" applyNumberFormat="1"/>
    <xf borderId="0" fillId="7" fontId="2" numFmtId="0" xfId="0" applyFill="1" applyFont="1"/>
    <xf borderId="0" fillId="4" fontId="6" numFmtId="0" xfId="0" applyFont="1"/>
    <xf borderId="0" fillId="0" fontId="2" numFmtId="11" xfId="0" applyFont="1" applyNumberFormat="1"/>
    <xf borderId="0" fillId="7" fontId="7" numFmtId="0" xfId="0" applyFont="1"/>
    <xf borderId="0" fillId="0" fontId="8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3" max="3" width="24.75"/>
    <col customWidth="1" min="4" max="4" width="13.0"/>
    <col customWidth="1" min="5" max="5" width="6.5"/>
    <col customWidth="1" min="6" max="6" width="31.13"/>
    <col customWidth="1" min="7" max="7" width="6.88"/>
    <col customWidth="1" min="8" max="8" width="106.25"/>
    <col customWidth="1" min="9" max="9" width="7.75"/>
    <col customWidth="1" min="10" max="10" width="10.88"/>
    <col customWidth="1" min="11" max="11" width="26.25"/>
    <col customWidth="1" min="12" max="12" width="6.88"/>
    <col customWidth="1" min="13" max="13" width="19.88"/>
    <col customWidth="1" min="14" max="14" width="11.5"/>
    <col customWidth="1" min="15" max="15" width="10.88"/>
    <col customWidth="1" min="16" max="16" width="16.0"/>
    <col customWidth="1" min="17" max="17" width="16.75"/>
    <col customWidth="1" min="18" max="19" width="8.63"/>
    <col customWidth="1" min="20" max="20" width="10.38"/>
    <col customWidth="1" min="21" max="21" width="6.0"/>
    <col customWidth="1" min="22" max="22" width="39.5"/>
    <col hidden="1" min="24" max="30" width="12.63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</row>
    <row r="2" ht="15.75" customHeight="1">
      <c r="A2" s="4">
        <v>37.0</v>
      </c>
      <c r="B2" s="3" t="s">
        <v>47</v>
      </c>
      <c r="C2" s="3" t="s">
        <v>48</v>
      </c>
      <c r="D2" s="5"/>
      <c r="E2" s="5" t="b">
        <v>0</v>
      </c>
      <c r="F2" s="3" t="s">
        <v>49</v>
      </c>
      <c r="G2" s="3" t="s">
        <v>50</v>
      </c>
      <c r="H2" s="6" t="s">
        <v>51</v>
      </c>
      <c r="I2" s="3" t="s">
        <v>52</v>
      </c>
      <c r="J2" s="3">
        <v>0.49</v>
      </c>
      <c r="K2" s="3" t="s">
        <v>53</v>
      </c>
      <c r="L2" s="3" t="s">
        <v>50</v>
      </c>
      <c r="M2" s="6" t="s">
        <v>54</v>
      </c>
      <c r="N2" s="3" t="s">
        <v>55</v>
      </c>
      <c r="O2" s="3">
        <v>0.51</v>
      </c>
      <c r="P2" s="7"/>
      <c r="U2" s="3" t="s">
        <v>56</v>
      </c>
      <c r="V2" s="3" t="s">
        <v>57</v>
      </c>
      <c r="W2" s="3">
        <v>155.0</v>
      </c>
      <c r="Y2" s="3" t="s">
        <v>58</v>
      </c>
      <c r="Z2" s="3">
        <v>1.0</v>
      </c>
      <c r="AA2" s="3">
        <v>1.0</v>
      </c>
      <c r="AD2" s="3">
        <v>2.0</v>
      </c>
      <c r="AH2" s="3">
        <v>-0.1</v>
      </c>
      <c r="AJ2" s="3">
        <v>61.2</v>
      </c>
      <c r="AN2" s="3">
        <v>0.0</v>
      </c>
      <c r="AP2" s="3" t="s">
        <v>47</v>
      </c>
      <c r="AR2" s="3">
        <v>37.0</v>
      </c>
      <c r="AS2" s="3">
        <v>118.0</v>
      </c>
      <c r="AT2" s="3" t="s">
        <v>59</v>
      </c>
    </row>
    <row r="3" ht="15.75" customHeight="1">
      <c r="A3" s="4">
        <v>53.0</v>
      </c>
      <c r="C3" s="3" t="s">
        <v>60</v>
      </c>
      <c r="D3" s="2" t="b">
        <v>1</v>
      </c>
      <c r="E3" s="2" t="b">
        <v>1</v>
      </c>
      <c r="F3" s="3" t="s">
        <v>61</v>
      </c>
      <c r="G3" s="3" t="s">
        <v>50</v>
      </c>
      <c r="H3" s="6" t="s">
        <v>62</v>
      </c>
      <c r="I3" s="3" t="s">
        <v>63</v>
      </c>
      <c r="K3" s="3" t="s">
        <v>64</v>
      </c>
      <c r="L3" s="3" t="s">
        <v>65</v>
      </c>
      <c r="M3" s="4"/>
      <c r="N3" s="3" t="s">
        <v>66</v>
      </c>
      <c r="U3" s="3" t="s">
        <v>67</v>
      </c>
      <c r="V3" s="3" t="s">
        <v>68</v>
      </c>
      <c r="W3" s="3">
        <v>150.0</v>
      </c>
      <c r="Y3" s="3" t="s">
        <v>58</v>
      </c>
      <c r="Z3" s="3">
        <v>0.0</v>
      </c>
      <c r="AA3" s="3">
        <v>1.0</v>
      </c>
      <c r="AE3" s="3">
        <v>-0.3</v>
      </c>
      <c r="AN3" s="3">
        <v>0.0</v>
      </c>
      <c r="AR3" s="3">
        <v>53.0</v>
      </c>
    </row>
    <row r="4" ht="15.75" customHeight="1">
      <c r="A4" s="4">
        <v>57.0</v>
      </c>
      <c r="B4" s="3" t="s">
        <v>69</v>
      </c>
      <c r="C4" s="3" t="s">
        <v>60</v>
      </c>
      <c r="D4" s="2" t="b">
        <v>1</v>
      </c>
      <c r="E4" s="2" t="b">
        <v>1</v>
      </c>
      <c r="F4" s="3" t="s">
        <v>61</v>
      </c>
      <c r="G4" s="3" t="s">
        <v>50</v>
      </c>
      <c r="H4" s="6" t="s">
        <v>62</v>
      </c>
      <c r="I4" s="3" t="s">
        <v>63</v>
      </c>
      <c r="K4" s="3" t="s">
        <v>70</v>
      </c>
      <c r="L4" s="3" t="s">
        <v>71</v>
      </c>
      <c r="M4" s="4"/>
      <c r="N4" s="3" t="s">
        <v>72</v>
      </c>
      <c r="U4" s="3" t="s">
        <v>67</v>
      </c>
      <c r="V4" s="3" t="s">
        <v>68</v>
      </c>
      <c r="W4" s="3">
        <v>150.0</v>
      </c>
      <c r="Y4" s="3" t="s">
        <v>58</v>
      </c>
      <c r="Z4" s="3">
        <v>0.0</v>
      </c>
      <c r="AA4" s="3">
        <v>1.0</v>
      </c>
      <c r="AE4" s="3">
        <v>-0.45</v>
      </c>
      <c r="AN4" s="3">
        <v>1.0</v>
      </c>
      <c r="AP4" s="3" t="s">
        <v>69</v>
      </c>
      <c r="AR4" s="3">
        <v>57.0</v>
      </c>
    </row>
    <row r="5" ht="15.75" customHeight="1">
      <c r="A5" s="4">
        <v>65.0</v>
      </c>
      <c r="C5" s="3" t="s">
        <v>73</v>
      </c>
      <c r="D5" s="2" t="b">
        <v>1</v>
      </c>
      <c r="E5" s="2" t="b">
        <v>1</v>
      </c>
      <c r="F5" s="3" t="s">
        <v>74</v>
      </c>
      <c r="G5" s="3" t="s">
        <v>71</v>
      </c>
      <c r="H5" s="4"/>
      <c r="I5" s="3" t="s">
        <v>75</v>
      </c>
      <c r="K5" s="3" t="s">
        <v>76</v>
      </c>
      <c r="L5" s="3" t="s">
        <v>50</v>
      </c>
      <c r="M5" s="6" t="s">
        <v>77</v>
      </c>
      <c r="N5" s="3" t="s">
        <v>78</v>
      </c>
      <c r="U5" s="3" t="s">
        <v>56</v>
      </c>
      <c r="V5" s="3" t="s">
        <v>79</v>
      </c>
      <c r="W5" s="3">
        <v>25.0</v>
      </c>
      <c r="Y5" s="3" t="s">
        <v>58</v>
      </c>
      <c r="Z5" s="3">
        <v>0.0</v>
      </c>
      <c r="AA5" s="3">
        <v>0.0</v>
      </c>
      <c r="AC5" s="3">
        <v>1.0</v>
      </c>
      <c r="AH5" s="3">
        <v>0.8</v>
      </c>
      <c r="AJ5" s="3">
        <v>-100.0</v>
      </c>
      <c r="AN5" s="3">
        <v>0.0</v>
      </c>
      <c r="AR5" s="3">
        <v>65.0</v>
      </c>
    </row>
    <row r="6" ht="15.75" customHeight="1">
      <c r="A6" s="4">
        <v>68.0</v>
      </c>
      <c r="C6" s="3" t="s">
        <v>80</v>
      </c>
      <c r="D6" s="2" t="b">
        <v>1</v>
      </c>
      <c r="E6" s="2" t="b">
        <v>1</v>
      </c>
      <c r="F6" s="3" t="s">
        <v>81</v>
      </c>
      <c r="G6" s="3" t="s">
        <v>50</v>
      </c>
      <c r="H6" s="6" t="s">
        <v>82</v>
      </c>
      <c r="I6" s="3" t="s">
        <v>83</v>
      </c>
      <c r="K6" s="3" t="s">
        <v>84</v>
      </c>
      <c r="L6" s="3" t="s">
        <v>71</v>
      </c>
      <c r="M6" s="4"/>
      <c r="N6" s="3" t="s">
        <v>85</v>
      </c>
      <c r="U6" s="3" t="s">
        <v>67</v>
      </c>
      <c r="V6" s="3" t="s">
        <v>86</v>
      </c>
      <c r="W6" s="3">
        <v>300.0</v>
      </c>
      <c r="Y6" s="3" t="s">
        <v>87</v>
      </c>
      <c r="Z6" s="3">
        <v>0.0</v>
      </c>
      <c r="AA6" s="3">
        <v>0.0</v>
      </c>
      <c r="AC6" s="3">
        <v>3.0</v>
      </c>
      <c r="AE6" s="3">
        <v>3.34</v>
      </c>
      <c r="AN6" s="3">
        <v>0.0</v>
      </c>
      <c r="AR6" s="3">
        <v>68.0</v>
      </c>
      <c r="AS6" s="3">
        <v>0.135</v>
      </c>
      <c r="AT6" s="3" t="s">
        <v>88</v>
      </c>
    </row>
    <row r="7" ht="15.75" customHeight="1">
      <c r="A7" s="4">
        <v>70.0</v>
      </c>
      <c r="C7" s="3" t="s">
        <v>80</v>
      </c>
      <c r="D7" s="2" t="b">
        <v>1</v>
      </c>
      <c r="E7" s="2" t="b">
        <v>1</v>
      </c>
      <c r="F7" s="3" t="s">
        <v>89</v>
      </c>
      <c r="G7" s="3" t="s">
        <v>50</v>
      </c>
      <c r="H7" s="6" t="s">
        <v>90</v>
      </c>
      <c r="I7" s="3" t="s">
        <v>91</v>
      </c>
      <c r="K7" s="3" t="s">
        <v>84</v>
      </c>
      <c r="L7" s="3" t="s">
        <v>71</v>
      </c>
      <c r="M7" s="4"/>
      <c r="N7" s="3" t="s">
        <v>85</v>
      </c>
      <c r="U7" s="3" t="s">
        <v>67</v>
      </c>
      <c r="V7" s="3" t="s">
        <v>86</v>
      </c>
      <c r="W7" s="3">
        <v>300.0</v>
      </c>
      <c r="Y7" s="3" t="s">
        <v>87</v>
      </c>
      <c r="Z7" s="3">
        <v>0.0</v>
      </c>
      <c r="AA7" s="3">
        <v>0.0</v>
      </c>
      <c r="AC7" s="3">
        <v>3.0</v>
      </c>
      <c r="AE7" s="3">
        <v>11.43</v>
      </c>
      <c r="AN7" s="3">
        <v>0.0</v>
      </c>
      <c r="AR7" s="3">
        <v>70.0</v>
      </c>
      <c r="AS7" s="3">
        <v>0.135</v>
      </c>
      <c r="AT7" s="3" t="s">
        <v>88</v>
      </c>
    </row>
    <row r="8" ht="15.75" customHeight="1">
      <c r="A8" s="4">
        <v>71.0</v>
      </c>
      <c r="C8" s="3" t="s">
        <v>80</v>
      </c>
      <c r="D8" s="2" t="b">
        <v>1</v>
      </c>
      <c r="E8" s="2" t="b">
        <v>1</v>
      </c>
      <c r="F8" s="3" t="s">
        <v>92</v>
      </c>
      <c r="G8" s="3" t="s">
        <v>50</v>
      </c>
      <c r="H8" s="6" t="s">
        <v>93</v>
      </c>
      <c r="I8" s="3" t="s">
        <v>94</v>
      </c>
      <c r="K8" s="3" t="s">
        <v>84</v>
      </c>
      <c r="L8" s="3" t="s">
        <v>71</v>
      </c>
      <c r="M8" s="4"/>
      <c r="N8" s="3" t="s">
        <v>85</v>
      </c>
      <c r="U8" s="3" t="s">
        <v>67</v>
      </c>
      <c r="V8" s="3" t="s">
        <v>86</v>
      </c>
      <c r="W8" s="3">
        <v>300.0</v>
      </c>
      <c r="Y8" s="3" t="s">
        <v>87</v>
      </c>
      <c r="Z8" s="3">
        <v>0.0</v>
      </c>
      <c r="AA8" s="3">
        <v>0.0</v>
      </c>
      <c r="AC8" s="3">
        <v>3.0</v>
      </c>
      <c r="AE8" s="3">
        <v>7.41</v>
      </c>
      <c r="AN8" s="3">
        <v>0.0</v>
      </c>
      <c r="AR8" s="3">
        <v>71.0</v>
      </c>
      <c r="AS8" s="3">
        <v>0.135</v>
      </c>
      <c r="AT8" s="3" t="s">
        <v>88</v>
      </c>
    </row>
    <row r="9" ht="15.75" customHeight="1">
      <c r="A9" s="4">
        <v>72.0</v>
      </c>
      <c r="C9" s="3" t="s">
        <v>80</v>
      </c>
      <c r="D9" s="2" t="b">
        <v>1</v>
      </c>
      <c r="E9" s="2" t="b">
        <v>1</v>
      </c>
      <c r="F9" s="3" t="s">
        <v>95</v>
      </c>
      <c r="G9" s="3" t="s">
        <v>50</v>
      </c>
      <c r="H9" s="6" t="s">
        <v>96</v>
      </c>
      <c r="I9" s="3" t="s">
        <v>97</v>
      </c>
      <c r="K9" s="3" t="s">
        <v>84</v>
      </c>
      <c r="L9" s="3" t="s">
        <v>71</v>
      </c>
      <c r="M9" s="4"/>
      <c r="N9" s="3" t="s">
        <v>85</v>
      </c>
      <c r="U9" s="3" t="s">
        <v>67</v>
      </c>
      <c r="V9" s="3" t="s">
        <v>86</v>
      </c>
      <c r="W9" s="3">
        <v>300.0</v>
      </c>
      <c r="Y9" s="3" t="s">
        <v>87</v>
      </c>
      <c r="Z9" s="3">
        <v>0.0</v>
      </c>
      <c r="AA9" s="3">
        <v>0.0</v>
      </c>
      <c r="AC9" s="3">
        <v>3.0</v>
      </c>
      <c r="AE9" s="3">
        <v>0.39</v>
      </c>
      <c r="AN9" s="3">
        <v>0.0</v>
      </c>
      <c r="AR9" s="3">
        <v>72.0</v>
      </c>
      <c r="AS9" s="3">
        <v>0.135</v>
      </c>
      <c r="AT9" s="3" t="s">
        <v>88</v>
      </c>
    </row>
    <row r="10" ht="15.75" customHeight="1">
      <c r="A10" s="4">
        <v>75.0</v>
      </c>
      <c r="C10" s="3" t="s">
        <v>80</v>
      </c>
      <c r="D10" s="2" t="b">
        <v>1</v>
      </c>
      <c r="E10" s="2" t="b">
        <v>1</v>
      </c>
      <c r="F10" s="3" t="s">
        <v>98</v>
      </c>
      <c r="G10" s="3" t="s">
        <v>50</v>
      </c>
      <c r="H10" s="6" t="s">
        <v>99</v>
      </c>
      <c r="I10" s="3" t="s">
        <v>100</v>
      </c>
      <c r="K10" s="3" t="s">
        <v>84</v>
      </c>
      <c r="L10" s="3" t="s">
        <v>71</v>
      </c>
      <c r="M10" s="4"/>
      <c r="N10" s="3" t="s">
        <v>85</v>
      </c>
      <c r="U10" s="3" t="s">
        <v>67</v>
      </c>
      <c r="V10" s="3" t="s">
        <v>86</v>
      </c>
      <c r="W10" s="3">
        <v>300.0</v>
      </c>
      <c r="Y10" s="3" t="s">
        <v>87</v>
      </c>
      <c r="Z10" s="3">
        <v>0.0</v>
      </c>
      <c r="AA10" s="3">
        <v>0.0</v>
      </c>
      <c r="AC10" s="3">
        <v>3.0</v>
      </c>
      <c r="AE10" s="3">
        <v>-1.06</v>
      </c>
      <c r="AN10" s="3">
        <v>0.0</v>
      </c>
      <c r="AR10" s="3">
        <v>75.0</v>
      </c>
      <c r="AS10" s="3">
        <v>0.135</v>
      </c>
      <c r="AT10" s="3" t="s">
        <v>88</v>
      </c>
    </row>
    <row r="11" ht="15.75" customHeight="1">
      <c r="A11" s="4">
        <v>76.0</v>
      </c>
      <c r="C11" s="3" t="s">
        <v>80</v>
      </c>
      <c r="D11" s="2" t="b">
        <v>1</v>
      </c>
      <c r="E11" s="2" t="b">
        <v>1</v>
      </c>
      <c r="F11" s="3" t="s">
        <v>101</v>
      </c>
      <c r="G11" s="3" t="s">
        <v>50</v>
      </c>
      <c r="H11" s="6" t="s">
        <v>102</v>
      </c>
      <c r="I11" s="3" t="s">
        <v>103</v>
      </c>
      <c r="K11" s="3" t="s">
        <v>84</v>
      </c>
      <c r="L11" s="3" t="s">
        <v>71</v>
      </c>
      <c r="M11" s="4"/>
      <c r="N11" s="3" t="s">
        <v>85</v>
      </c>
      <c r="U11" s="3" t="s">
        <v>67</v>
      </c>
      <c r="V11" s="3" t="s">
        <v>86</v>
      </c>
      <c r="W11" s="3">
        <v>300.0</v>
      </c>
      <c r="Y11" s="3" t="s">
        <v>87</v>
      </c>
      <c r="Z11" s="3">
        <v>0.0</v>
      </c>
      <c r="AA11" s="3">
        <v>0.0</v>
      </c>
      <c r="AC11" s="3">
        <v>3.0</v>
      </c>
      <c r="AE11" s="3">
        <v>-0.38</v>
      </c>
      <c r="AN11" s="3">
        <v>0.0</v>
      </c>
      <c r="AR11" s="3">
        <v>76.0</v>
      </c>
      <c r="AS11" s="3">
        <v>0.135</v>
      </c>
      <c r="AT11" s="3" t="s">
        <v>88</v>
      </c>
    </row>
    <row r="12" ht="15.75" customHeight="1">
      <c r="A12" s="4">
        <v>79.0</v>
      </c>
      <c r="B12" s="3" t="s">
        <v>104</v>
      </c>
      <c r="C12" s="3" t="s">
        <v>105</v>
      </c>
      <c r="D12" s="2" t="b">
        <v>1</v>
      </c>
      <c r="E12" s="2" t="b">
        <v>1</v>
      </c>
      <c r="F12" s="3" t="s">
        <v>106</v>
      </c>
      <c r="G12" s="3" t="s">
        <v>50</v>
      </c>
      <c r="H12" s="6" t="s">
        <v>107</v>
      </c>
      <c r="I12" s="3" t="s">
        <v>108</v>
      </c>
      <c r="K12" s="3" t="s">
        <v>109</v>
      </c>
      <c r="L12" s="3" t="s">
        <v>50</v>
      </c>
      <c r="M12" s="6" t="s">
        <v>110</v>
      </c>
      <c r="N12" s="3" t="s">
        <v>111</v>
      </c>
      <c r="U12" s="3" t="s">
        <v>67</v>
      </c>
      <c r="V12" s="3" t="s">
        <v>68</v>
      </c>
      <c r="Z12" s="3">
        <v>0.0</v>
      </c>
      <c r="AA12" s="3">
        <v>1.0</v>
      </c>
      <c r="AE12" s="3">
        <v>0.68</v>
      </c>
      <c r="AN12" s="3">
        <v>1.0</v>
      </c>
      <c r="AP12" s="3" t="s">
        <v>104</v>
      </c>
      <c r="AR12" s="3">
        <v>79.0</v>
      </c>
    </row>
    <row r="13" ht="15.75" customHeight="1">
      <c r="A13" s="4">
        <v>81.0</v>
      </c>
      <c r="C13" s="3" t="s">
        <v>112</v>
      </c>
      <c r="D13" s="2" t="b">
        <v>1</v>
      </c>
      <c r="E13" s="2" t="b">
        <v>1</v>
      </c>
      <c r="F13" s="3" t="s">
        <v>76</v>
      </c>
      <c r="G13" s="3" t="s">
        <v>50</v>
      </c>
      <c r="H13" s="6" t="s">
        <v>77</v>
      </c>
      <c r="I13" s="3" t="s">
        <v>78</v>
      </c>
      <c r="K13" s="3" t="s">
        <v>61</v>
      </c>
      <c r="L13" s="3" t="s">
        <v>50</v>
      </c>
      <c r="M13" s="6" t="s">
        <v>62</v>
      </c>
      <c r="N13" s="3" t="s">
        <v>63</v>
      </c>
      <c r="U13" s="3" t="s">
        <v>67</v>
      </c>
      <c r="V13" s="3" t="s">
        <v>113</v>
      </c>
      <c r="W13" s="3">
        <v>40.0</v>
      </c>
      <c r="Y13" s="3" t="s">
        <v>58</v>
      </c>
      <c r="Z13" s="3">
        <v>0.0</v>
      </c>
      <c r="AA13" s="3">
        <v>1.0</v>
      </c>
      <c r="AE13" s="3">
        <v>-0.04</v>
      </c>
      <c r="AN13" s="3">
        <v>0.0</v>
      </c>
      <c r="AR13" s="3">
        <v>81.0</v>
      </c>
    </row>
    <row r="14" ht="15.75" customHeight="1">
      <c r="A14" s="4">
        <v>82.0</v>
      </c>
      <c r="C14" s="3" t="s">
        <v>114</v>
      </c>
      <c r="D14" s="2" t="b">
        <v>1</v>
      </c>
      <c r="E14" s="2" t="b">
        <v>1</v>
      </c>
      <c r="F14" s="3" t="s">
        <v>115</v>
      </c>
      <c r="G14" s="3" t="s">
        <v>50</v>
      </c>
      <c r="H14" s="8" t="s">
        <v>116</v>
      </c>
      <c r="I14" s="3" t="s">
        <v>117</v>
      </c>
      <c r="K14" s="3" t="s">
        <v>84</v>
      </c>
      <c r="L14" s="3" t="s">
        <v>71</v>
      </c>
      <c r="M14" s="4"/>
      <c r="N14" s="3" t="s">
        <v>85</v>
      </c>
      <c r="U14" s="3" t="s">
        <v>67</v>
      </c>
      <c r="V14" s="3" t="s">
        <v>118</v>
      </c>
      <c r="W14" s="3">
        <v>25.0</v>
      </c>
      <c r="Y14" s="3" t="s">
        <v>58</v>
      </c>
      <c r="Z14" s="3">
        <v>0.0</v>
      </c>
      <c r="AA14" s="3">
        <v>0.0</v>
      </c>
      <c r="AC14" s="3">
        <v>1.0</v>
      </c>
      <c r="AE14" s="3">
        <v>0.399</v>
      </c>
      <c r="AN14" s="3">
        <v>0.0</v>
      </c>
      <c r="AQ14" s="3" t="s">
        <v>119</v>
      </c>
      <c r="AR14" s="3">
        <v>82.0</v>
      </c>
    </row>
    <row r="15" ht="15.75" customHeight="1">
      <c r="A15" s="4">
        <v>83.0</v>
      </c>
      <c r="C15" s="3" t="s">
        <v>114</v>
      </c>
      <c r="D15" s="2" t="b">
        <v>1</v>
      </c>
      <c r="E15" s="2" t="b">
        <v>1</v>
      </c>
      <c r="F15" s="3" t="s">
        <v>115</v>
      </c>
      <c r="G15" s="3" t="s">
        <v>50</v>
      </c>
      <c r="H15" s="8" t="s">
        <v>116</v>
      </c>
      <c r="I15" s="3" t="s">
        <v>117</v>
      </c>
      <c r="K15" s="3" t="s">
        <v>84</v>
      </c>
      <c r="L15" s="3" t="s">
        <v>71</v>
      </c>
      <c r="M15" s="4"/>
      <c r="N15" s="3" t="s">
        <v>85</v>
      </c>
      <c r="U15" s="3" t="s">
        <v>67</v>
      </c>
      <c r="V15" s="3" t="s">
        <v>118</v>
      </c>
      <c r="W15" s="3">
        <v>40.0</v>
      </c>
      <c r="Y15" s="3" t="s">
        <v>58</v>
      </c>
      <c r="Z15" s="3">
        <v>0.0</v>
      </c>
      <c r="AA15" s="3">
        <v>0.0</v>
      </c>
      <c r="AC15" s="3">
        <v>1.0</v>
      </c>
      <c r="AE15" s="3">
        <v>0.403</v>
      </c>
      <c r="AN15" s="3">
        <v>0.0</v>
      </c>
      <c r="AQ15" s="3" t="s">
        <v>119</v>
      </c>
      <c r="AR15" s="3">
        <v>83.0</v>
      </c>
    </row>
    <row r="16" ht="15.75" customHeight="1">
      <c r="A16" s="4">
        <v>84.0</v>
      </c>
      <c r="C16" s="3" t="s">
        <v>114</v>
      </c>
      <c r="D16" s="2" t="b">
        <v>1</v>
      </c>
      <c r="E16" s="2" t="b">
        <v>1</v>
      </c>
      <c r="F16" s="3" t="s">
        <v>115</v>
      </c>
      <c r="G16" s="3" t="s">
        <v>50</v>
      </c>
      <c r="H16" s="8" t="s">
        <v>116</v>
      </c>
      <c r="I16" s="3" t="s">
        <v>117</v>
      </c>
      <c r="K16" s="3" t="s">
        <v>84</v>
      </c>
      <c r="L16" s="3" t="s">
        <v>71</v>
      </c>
      <c r="M16" s="4"/>
      <c r="N16" s="3" t="s">
        <v>85</v>
      </c>
      <c r="U16" s="3" t="s">
        <v>67</v>
      </c>
      <c r="V16" s="3" t="s">
        <v>118</v>
      </c>
      <c r="W16" s="3">
        <v>55.0</v>
      </c>
      <c r="Y16" s="3" t="s">
        <v>58</v>
      </c>
      <c r="Z16" s="3">
        <v>0.0</v>
      </c>
      <c r="AA16" s="3">
        <v>0.0</v>
      </c>
      <c r="AC16" s="3">
        <v>1.0</v>
      </c>
      <c r="AE16" s="3">
        <v>0.4</v>
      </c>
      <c r="AN16" s="3">
        <v>0.0</v>
      </c>
      <c r="AQ16" s="3" t="s">
        <v>119</v>
      </c>
      <c r="AR16" s="3">
        <v>84.0</v>
      </c>
    </row>
    <row r="17" ht="15.75" customHeight="1">
      <c r="A17" s="4">
        <v>86.0</v>
      </c>
      <c r="C17" s="3" t="s">
        <v>114</v>
      </c>
      <c r="D17" s="2" t="b">
        <v>1</v>
      </c>
      <c r="E17" s="2" t="b">
        <v>1</v>
      </c>
      <c r="F17" s="3" t="s">
        <v>115</v>
      </c>
      <c r="G17" s="3" t="s">
        <v>50</v>
      </c>
      <c r="H17" s="1" t="s">
        <v>120</v>
      </c>
      <c r="I17" s="3" t="s">
        <v>117</v>
      </c>
      <c r="K17" s="3" t="s">
        <v>84</v>
      </c>
      <c r="L17" s="3" t="s">
        <v>71</v>
      </c>
      <c r="M17" s="4"/>
      <c r="N17" s="3" t="s">
        <v>85</v>
      </c>
      <c r="U17" s="3" t="s">
        <v>67</v>
      </c>
      <c r="V17" s="3" t="s">
        <v>118</v>
      </c>
      <c r="W17" s="3">
        <v>25.0</v>
      </c>
      <c r="Y17" s="3" t="s">
        <v>58</v>
      </c>
      <c r="Z17" s="3">
        <v>0.0</v>
      </c>
      <c r="AA17" s="3">
        <v>0.0</v>
      </c>
      <c r="AC17" s="3">
        <v>1.0</v>
      </c>
      <c r="AE17" s="3">
        <v>0.4</v>
      </c>
      <c r="AN17" s="3">
        <v>0.0</v>
      </c>
      <c r="AQ17" s="9" t="s">
        <v>121</v>
      </c>
      <c r="AR17" s="3">
        <v>86.0</v>
      </c>
    </row>
    <row r="18" ht="15.75" customHeight="1">
      <c r="A18" s="4">
        <v>88.0</v>
      </c>
      <c r="C18" s="3" t="s">
        <v>114</v>
      </c>
      <c r="D18" s="2" t="b">
        <v>1</v>
      </c>
      <c r="E18" s="2" t="b">
        <v>1</v>
      </c>
      <c r="F18" s="3" t="s">
        <v>115</v>
      </c>
      <c r="G18" s="3" t="s">
        <v>50</v>
      </c>
      <c r="H18" s="1" t="s">
        <v>120</v>
      </c>
      <c r="I18" s="3" t="s">
        <v>117</v>
      </c>
      <c r="K18" s="3" t="s">
        <v>84</v>
      </c>
      <c r="L18" s="3" t="s">
        <v>71</v>
      </c>
      <c r="M18" s="4"/>
      <c r="N18" s="3" t="s">
        <v>85</v>
      </c>
      <c r="U18" s="3" t="s">
        <v>67</v>
      </c>
      <c r="V18" s="3" t="s">
        <v>118</v>
      </c>
      <c r="W18" s="3">
        <v>40.0</v>
      </c>
      <c r="Y18" s="3" t="s">
        <v>58</v>
      </c>
      <c r="Z18" s="3">
        <v>0.0</v>
      </c>
      <c r="AA18" s="3">
        <v>0.0</v>
      </c>
      <c r="AC18" s="3">
        <v>1.0</v>
      </c>
      <c r="AE18" s="3">
        <v>0.411</v>
      </c>
      <c r="AN18" s="3">
        <v>0.0</v>
      </c>
      <c r="AQ18" s="9" t="s">
        <v>121</v>
      </c>
      <c r="AR18" s="3">
        <v>88.0</v>
      </c>
    </row>
    <row r="19" ht="15.75" customHeight="1">
      <c r="A19" s="4">
        <v>89.0</v>
      </c>
      <c r="C19" s="3" t="s">
        <v>114</v>
      </c>
      <c r="D19" s="2" t="b">
        <v>1</v>
      </c>
      <c r="E19" s="2" t="b">
        <v>1</v>
      </c>
      <c r="F19" s="3" t="s">
        <v>115</v>
      </c>
      <c r="G19" s="3" t="s">
        <v>50</v>
      </c>
      <c r="H19" s="1" t="s">
        <v>120</v>
      </c>
      <c r="I19" s="3" t="s">
        <v>117</v>
      </c>
      <c r="K19" s="3" t="s">
        <v>84</v>
      </c>
      <c r="L19" s="3" t="s">
        <v>71</v>
      </c>
      <c r="M19" s="4"/>
      <c r="N19" s="3" t="s">
        <v>85</v>
      </c>
      <c r="P19" s="3"/>
      <c r="Q19" s="3"/>
      <c r="R19" s="3">
        <v>65.3</v>
      </c>
      <c r="T19" s="3" t="s">
        <v>122</v>
      </c>
      <c r="U19" s="3" t="s">
        <v>67</v>
      </c>
      <c r="V19" s="3" t="s">
        <v>118</v>
      </c>
      <c r="W19" s="3">
        <v>55.0</v>
      </c>
      <c r="Y19" s="3" t="s">
        <v>58</v>
      </c>
      <c r="Z19" s="3">
        <v>0.0</v>
      </c>
      <c r="AA19" s="3">
        <v>0.0</v>
      </c>
      <c r="AB19" s="3">
        <v>5.0</v>
      </c>
      <c r="AC19" s="3">
        <v>1.0</v>
      </c>
      <c r="AE19" s="3">
        <v>0.42</v>
      </c>
      <c r="AN19" s="3">
        <v>0.0</v>
      </c>
      <c r="AQ19" s="9" t="s">
        <v>121</v>
      </c>
      <c r="AR19" s="3">
        <v>89.0</v>
      </c>
    </row>
    <row r="20" ht="15.75" customHeight="1">
      <c r="A20" s="4">
        <v>90.0</v>
      </c>
      <c r="B20" s="3" t="s">
        <v>123</v>
      </c>
      <c r="C20" s="3" t="s">
        <v>114</v>
      </c>
      <c r="D20" s="2" t="b">
        <v>1</v>
      </c>
      <c r="E20" s="2" t="b">
        <v>1</v>
      </c>
      <c r="F20" s="3" t="s">
        <v>124</v>
      </c>
      <c r="G20" s="3" t="s">
        <v>50</v>
      </c>
      <c r="H20" s="1" t="s">
        <v>125</v>
      </c>
      <c r="I20" s="3" t="s">
        <v>126</v>
      </c>
      <c r="K20" s="3" t="s">
        <v>127</v>
      </c>
      <c r="L20" s="3" t="s">
        <v>71</v>
      </c>
      <c r="M20" s="4"/>
      <c r="N20" s="3" t="s">
        <v>128</v>
      </c>
      <c r="P20" s="3"/>
      <c r="Q20" s="3"/>
      <c r="R20" s="3">
        <v>21.6</v>
      </c>
      <c r="T20" s="3" t="s">
        <v>122</v>
      </c>
      <c r="U20" s="3" t="s">
        <v>67</v>
      </c>
      <c r="V20" s="3" t="s">
        <v>118</v>
      </c>
      <c r="W20" s="3">
        <v>25.0</v>
      </c>
      <c r="Y20" s="3" t="s">
        <v>58</v>
      </c>
      <c r="Z20" s="3">
        <v>0.0</v>
      </c>
      <c r="AA20" s="3">
        <v>0.0</v>
      </c>
      <c r="AB20" s="3">
        <v>5.0</v>
      </c>
      <c r="AC20" s="3">
        <v>1.0</v>
      </c>
      <c r="AE20" s="3">
        <v>0.394</v>
      </c>
      <c r="AN20" s="3">
        <v>1.0</v>
      </c>
      <c r="AP20" s="3" t="s">
        <v>123</v>
      </c>
      <c r="AQ20" s="3" t="s">
        <v>119</v>
      </c>
      <c r="AR20" s="3">
        <v>90.0</v>
      </c>
    </row>
    <row r="21" ht="15.75" customHeight="1">
      <c r="A21" s="4">
        <v>91.0</v>
      </c>
      <c r="B21" s="3" t="s">
        <v>123</v>
      </c>
      <c r="C21" s="3" t="s">
        <v>114</v>
      </c>
      <c r="D21" s="2" t="b">
        <v>1</v>
      </c>
      <c r="E21" s="2" t="b">
        <v>1</v>
      </c>
      <c r="F21" s="3" t="s">
        <v>124</v>
      </c>
      <c r="G21" s="3" t="s">
        <v>50</v>
      </c>
      <c r="H21" s="1" t="s">
        <v>125</v>
      </c>
      <c r="I21" s="3" t="s">
        <v>126</v>
      </c>
      <c r="K21" s="3" t="s">
        <v>127</v>
      </c>
      <c r="L21" s="3" t="s">
        <v>71</v>
      </c>
      <c r="M21" s="4"/>
      <c r="N21" s="3" t="s">
        <v>128</v>
      </c>
      <c r="P21" s="3"/>
      <c r="Q21" s="3"/>
      <c r="R21" s="3">
        <v>21.6</v>
      </c>
      <c r="T21" s="3" t="s">
        <v>122</v>
      </c>
      <c r="U21" s="3" t="s">
        <v>67</v>
      </c>
      <c r="V21" s="3" t="s">
        <v>118</v>
      </c>
      <c r="W21" s="3">
        <v>40.0</v>
      </c>
      <c r="Y21" s="3" t="s">
        <v>58</v>
      </c>
      <c r="Z21" s="3">
        <v>0.0</v>
      </c>
      <c r="AA21" s="3">
        <v>0.0</v>
      </c>
      <c r="AB21" s="3">
        <v>5.0</v>
      </c>
      <c r="AC21" s="3">
        <v>1.0</v>
      </c>
      <c r="AE21" s="3">
        <v>0.373</v>
      </c>
      <c r="AN21" s="3">
        <v>1.0</v>
      </c>
      <c r="AP21" s="3" t="s">
        <v>123</v>
      </c>
      <c r="AQ21" s="3" t="s">
        <v>119</v>
      </c>
      <c r="AR21" s="3">
        <v>91.0</v>
      </c>
    </row>
    <row r="22" ht="15.75" customHeight="1">
      <c r="A22" s="4">
        <v>92.0</v>
      </c>
      <c r="B22" s="3" t="s">
        <v>123</v>
      </c>
      <c r="C22" s="3" t="s">
        <v>114</v>
      </c>
      <c r="D22" s="2" t="b">
        <v>1</v>
      </c>
      <c r="E22" s="2" t="b">
        <v>1</v>
      </c>
      <c r="F22" s="3" t="s">
        <v>124</v>
      </c>
      <c r="G22" s="3" t="s">
        <v>50</v>
      </c>
      <c r="H22" s="1" t="s">
        <v>125</v>
      </c>
      <c r="I22" s="3" t="s">
        <v>126</v>
      </c>
      <c r="K22" s="3" t="s">
        <v>127</v>
      </c>
      <c r="L22" s="3" t="s">
        <v>71</v>
      </c>
      <c r="M22" s="4"/>
      <c r="N22" s="3" t="s">
        <v>128</v>
      </c>
      <c r="P22" s="3"/>
      <c r="Q22" s="3"/>
      <c r="R22" s="3">
        <v>21.6</v>
      </c>
      <c r="T22" s="3" t="s">
        <v>122</v>
      </c>
      <c r="U22" s="3" t="s">
        <v>67</v>
      </c>
      <c r="V22" s="3" t="s">
        <v>118</v>
      </c>
      <c r="W22" s="3">
        <v>55.0</v>
      </c>
      <c r="Y22" s="3" t="s">
        <v>58</v>
      </c>
      <c r="Z22" s="3">
        <v>0.0</v>
      </c>
      <c r="AA22" s="3">
        <v>0.0</v>
      </c>
      <c r="AB22" s="3">
        <v>5.0</v>
      </c>
      <c r="AC22" s="3">
        <v>1.0</v>
      </c>
      <c r="AE22" s="3">
        <v>0.395</v>
      </c>
      <c r="AN22" s="3">
        <v>1.0</v>
      </c>
      <c r="AP22" s="3" t="s">
        <v>123</v>
      </c>
      <c r="AQ22" s="3" t="s">
        <v>119</v>
      </c>
      <c r="AR22" s="3">
        <v>92.0</v>
      </c>
    </row>
    <row r="23" ht="15.75" customHeight="1">
      <c r="A23" s="4">
        <v>94.0</v>
      </c>
      <c r="B23" s="3" t="s">
        <v>123</v>
      </c>
      <c r="C23" s="3" t="s">
        <v>114</v>
      </c>
      <c r="D23" s="2" t="b">
        <v>1</v>
      </c>
      <c r="E23" s="2" t="b">
        <v>1</v>
      </c>
      <c r="F23" s="3" t="s">
        <v>124</v>
      </c>
      <c r="G23" s="3" t="s">
        <v>50</v>
      </c>
      <c r="H23" s="10" t="s">
        <v>129</v>
      </c>
      <c r="I23" s="3" t="s">
        <v>126</v>
      </c>
      <c r="K23" s="3" t="s">
        <v>127</v>
      </c>
      <c r="L23" s="3" t="s">
        <v>71</v>
      </c>
      <c r="M23" s="4"/>
      <c r="N23" s="3" t="s">
        <v>128</v>
      </c>
      <c r="P23" s="3"/>
      <c r="Q23" s="3"/>
      <c r="R23" s="3">
        <v>12.0</v>
      </c>
      <c r="T23" s="3" t="s">
        <v>122</v>
      </c>
      <c r="U23" s="3" t="s">
        <v>67</v>
      </c>
      <c r="V23" s="3" t="s">
        <v>118</v>
      </c>
      <c r="W23" s="3">
        <v>25.0</v>
      </c>
      <c r="Y23" s="3" t="s">
        <v>58</v>
      </c>
      <c r="Z23" s="3">
        <v>0.0</v>
      </c>
      <c r="AA23" s="3">
        <v>0.0</v>
      </c>
      <c r="AB23" s="3">
        <v>5.0</v>
      </c>
      <c r="AC23" s="3">
        <v>1.0</v>
      </c>
      <c r="AE23" s="3">
        <v>0.437</v>
      </c>
      <c r="AN23" s="3">
        <v>1.0</v>
      </c>
      <c r="AP23" s="3" t="s">
        <v>123</v>
      </c>
      <c r="AQ23" s="3" t="s">
        <v>130</v>
      </c>
      <c r="AR23" s="3">
        <v>94.0</v>
      </c>
    </row>
    <row r="24" ht="15.75" customHeight="1">
      <c r="A24" s="4">
        <v>95.0</v>
      </c>
      <c r="B24" s="3" t="s">
        <v>123</v>
      </c>
      <c r="C24" s="3" t="s">
        <v>114</v>
      </c>
      <c r="D24" s="2" t="b">
        <v>1</v>
      </c>
      <c r="E24" s="2" t="b">
        <v>1</v>
      </c>
      <c r="F24" s="3" t="s">
        <v>124</v>
      </c>
      <c r="G24" s="3" t="s">
        <v>50</v>
      </c>
      <c r="H24" s="10" t="s">
        <v>129</v>
      </c>
      <c r="I24" s="3" t="s">
        <v>126</v>
      </c>
      <c r="K24" s="3" t="s">
        <v>127</v>
      </c>
      <c r="L24" s="3" t="s">
        <v>71</v>
      </c>
      <c r="M24" s="4"/>
      <c r="N24" s="3" t="s">
        <v>128</v>
      </c>
      <c r="P24" s="3"/>
      <c r="Q24" s="3"/>
      <c r="R24" s="3">
        <v>12.0</v>
      </c>
      <c r="T24" s="3" t="s">
        <v>122</v>
      </c>
      <c r="U24" s="3" t="s">
        <v>67</v>
      </c>
      <c r="V24" s="3" t="s">
        <v>118</v>
      </c>
      <c r="W24" s="3">
        <v>40.0</v>
      </c>
      <c r="Y24" s="3" t="s">
        <v>58</v>
      </c>
      <c r="Z24" s="3">
        <v>0.0</v>
      </c>
      <c r="AA24" s="3">
        <v>0.0</v>
      </c>
      <c r="AB24" s="3">
        <v>5.0</v>
      </c>
      <c r="AC24" s="3">
        <v>1.0</v>
      </c>
      <c r="AE24" s="3">
        <v>0.438</v>
      </c>
      <c r="AN24" s="3">
        <v>1.0</v>
      </c>
      <c r="AP24" s="3" t="s">
        <v>123</v>
      </c>
      <c r="AQ24" s="3" t="s">
        <v>130</v>
      </c>
      <c r="AR24" s="3">
        <v>95.0</v>
      </c>
    </row>
    <row r="25" ht="15.75" customHeight="1">
      <c r="A25" s="4">
        <v>96.0</v>
      </c>
      <c r="B25" s="3" t="s">
        <v>123</v>
      </c>
      <c r="C25" s="3" t="s">
        <v>114</v>
      </c>
      <c r="D25" s="2" t="b">
        <v>1</v>
      </c>
      <c r="E25" s="2" t="b">
        <v>1</v>
      </c>
      <c r="F25" s="3" t="s">
        <v>124</v>
      </c>
      <c r="G25" s="3" t="s">
        <v>50</v>
      </c>
      <c r="H25" s="10" t="s">
        <v>129</v>
      </c>
      <c r="I25" s="3" t="s">
        <v>126</v>
      </c>
      <c r="K25" s="3" t="s">
        <v>127</v>
      </c>
      <c r="L25" s="3" t="s">
        <v>71</v>
      </c>
      <c r="M25" s="4"/>
      <c r="N25" s="3" t="s">
        <v>128</v>
      </c>
      <c r="P25" s="3"/>
      <c r="Q25" s="3"/>
      <c r="R25" s="3">
        <v>12.0</v>
      </c>
      <c r="T25" s="3" t="s">
        <v>122</v>
      </c>
      <c r="U25" s="3" t="s">
        <v>67</v>
      </c>
      <c r="V25" s="3" t="s">
        <v>118</v>
      </c>
      <c r="W25" s="3">
        <v>55.0</v>
      </c>
      <c r="Y25" s="3" t="s">
        <v>58</v>
      </c>
      <c r="Z25" s="3">
        <v>0.0</v>
      </c>
      <c r="AA25" s="3">
        <v>0.0</v>
      </c>
      <c r="AB25" s="3">
        <v>5.0</v>
      </c>
      <c r="AC25" s="3">
        <v>1.0</v>
      </c>
      <c r="AE25" s="3">
        <v>0.44</v>
      </c>
      <c r="AN25" s="3">
        <v>1.0</v>
      </c>
      <c r="AP25" s="3" t="s">
        <v>123</v>
      </c>
      <c r="AQ25" s="3" t="s">
        <v>130</v>
      </c>
      <c r="AR25" s="3">
        <v>96.0</v>
      </c>
    </row>
    <row r="26" ht="15.75" customHeight="1">
      <c r="A26" s="4">
        <v>99.0</v>
      </c>
      <c r="C26" s="3" t="s">
        <v>131</v>
      </c>
      <c r="D26" s="11" t="b">
        <v>1</v>
      </c>
      <c r="E26" s="5" t="b">
        <v>0</v>
      </c>
      <c r="F26" s="3" t="s">
        <v>132</v>
      </c>
      <c r="G26" s="3" t="s">
        <v>50</v>
      </c>
      <c r="H26" s="6" t="s">
        <v>133</v>
      </c>
      <c r="I26" s="3" t="s">
        <v>134</v>
      </c>
      <c r="K26" s="3" t="s">
        <v>135</v>
      </c>
      <c r="L26" s="3" t="s">
        <v>50</v>
      </c>
      <c r="M26" s="8" t="s">
        <v>62</v>
      </c>
      <c r="N26" s="3" t="s">
        <v>136</v>
      </c>
      <c r="P26" s="6" t="s">
        <v>137</v>
      </c>
      <c r="Q26" s="12" t="s">
        <v>138</v>
      </c>
      <c r="U26" s="3" t="s">
        <v>56</v>
      </c>
      <c r="V26" s="3" t="s">
        <v>139</v>
      </c>
      <c r="Z26" s="3">
        <v>1.0</v>
      </c>
      <c r="AA26" s="3">
        <v>0.0</v>
      </c>
      <c r="AB26" s="3">
        <v>10.0</v>
      </c>
      <c r="AC26" s="3">
        <v>2.0</v>
      </c>
      <c r="AH26" s="3">
        <v>-0.044</v>
      </c>
      <c r="AI26" s="3">
        <v>0.002</v>
      </c>
      <c r="AJ26" s="3">
        <v>41.2</v>
      </c>
      <c r="AK26" s="3">
        <v>0.9</v>
      </c>
      <c r="AN26" s="3">
        <v>0.0</v>
      </c>
      <c r="AR26" s="3">
        <v>99.0</v>
      </c>
      <c r="AS26" s="3">
        <v>118.0</v>
      </c>
      <c r="AT26" s="3" t="s">
        <v>59</v>
      </c>
    </row>
    <row r="27" ht="15.75" customHeight="1">
      <c r="A27" s="4">
        <v>106.0</v>
      </c>
      <c r="B27" s="13"/>
      <c r="C27" s="3" t="s">
        <v>140</v>
      </c>
      <c r="D27" s="5"/>
      <c r="E27" s="5" t="b">
        <v>0</v>
      </c>
      <c r="F27" s="3" t="s">
        <v>106</v>
      </c>
      <c r="G27" s="3" t="s">
        <v>50</v>
      </c>
      <c r="H27" s="6" t="s">
        <v>107</v>
      </c>
      <c r="I27" s="3" t="s">
        <v>108</v>
      </c>
      <c r="K27" s="3" t="s">
        <v>141</v>
      </c>
      <c r="L27" s="3" t="s">
        <v>50</v>
      </c>
      <c r="M27" s="6" t="s">
        <v>142</v>
      </c>
      <c r="N27" s="3" t="s">
        <v>143</v>
      </c>
      <c r="P27" s="7"/>
      <c r="U27" s="3" t="s">
        <v>67</v>
      </c>
      <c r="V27" s="3" t="s">
        <v>144</v>
      </c>
      <c r="W27" s="3">
        <v>20.0</v>
      </c>
      <c r="Y27" s="3" t="s">
        <v>58</v>
      </c>
      <c r="Z27" s="3">
        <v>0.0</v>
      </c>
      <c r="AA27" s="3">
        <v>0.0</v>
      </c>
      <c r="AC27" s="3">
        <v>3.0</v>
      </c>
      <c r="AD27" s="3">
        <v>3.0</v>
      </c>
      <c r="AE27" s="3">
        <v>1.1</v>
      </c>
      <c r="AG27" s="3">
        <v>0.2</v>
      </c>
      <c r="AN27" s="3">
        <v>1.0</v>
      </c>
      <c r="AP27" s="13"/>
      <c r="AR27" s="3">
        <v>106.0</v>
      </c>
      <c r="AS27" s="3">
        <v>100.0</v>
      </c>
      <c r="AT27" s="3" t="s">
        <v>59</v>
      </c>
    </row>
    <row r="28" ht="15.75" customHeight="1">
      <c r="A28" s="4">
        <v>109.0</v>
      </c>
      <c r="C28" s="3" t="s">
        <v>145</v>
      </c>
      <c r="D28" s="5"/>
      <c r="E28" s="5" t="b">
        <v>0</v>
      </c>
      <c r="F28" s="3" t="s">
        <v>146</v>
      </c>
      <c r="G28" s="3" t="s">
        <v>50</v>
      </c>
      <c r="H28" s="6" t="s">
        <v>147</v>
      </c>
      <c r="I28" s="3" t="s">
        <v>148</v>
      </c>
      <c r="K28" s="3" t="s">
        <v>149</v>
      </c>
      <c r="L28" s="3" t="s">
        <v>50</v>
      </c>
      <c r="M28" s="6" t="s">
        <v>150</v>
      </c>
      <c r="N28" s="3" t="s">
        <v>151</v>
      </c>
      <c r="P28" s="7"/>
      <c r="U28" s="3" t="s">
        <v>67</v>
      </c>
      <c r="V28" s="3" t="s">
        <v>152</v>
      </c>
      <c r="W28" s="3">
        <v>20.0</v>
      </c>
      <c r="Y28" s="3" t="s">
        <v>58</v>
      </c>
      <c r="Z28" s="3">
        <v>0.0</v>
      </c>
      <c r="AA28" s="3">
        <v>0.0</v>
      </c>
      <c r="AC28" s="3">
        <v>1.0</v>
      </c>
      <c r="AE28" s="3">
        <v>0.505</v>
      </c>
      <c r="AG28" s="3">
        <v>0.01</v>
      </c>
      <c r="AN28" s="3">
        <v>0.0</v>
      </c>
      <c r="AR28" s="3">
        <v>109.0</v>
      </c>
    </row>
    <row r="29" ht="15.75" customHeight="1">
      <c r="A29" s="4">
        <v>110.0</v>
      </c>
      <c r="C29" s="3" t="s">
        <v>153</v>
      </c>
      <c r="D29" s="2" t="b">
        <v>1</v>
      </c>
      <c r="E29" s="2" t="b">
        <v>1</v>
      </c>
      <c r="F29" s="3" t="s">
        <v>84</v>
      </c>
      <c r="G29" s="3" t="s">
        <v>71</v>
      </c>
      <c r="H29" s="4"/>
      <c r="I29" s="3" t="s">
        <v>85</v>
      </c>
      <c r="K29" s="3" t="s">
        <v>95</v>
      </c>
      <c r="L29" s="3" t="s">
        <v>50</v>
      </c>
      <c r="M29" s="6" t="s">
        <v>96</v>
      </c>
      <c r="N29" s="3" t="s">
        <v>97</v>
      </c>
      <c r="U29" s="3" t="s">
        <v>67</v>
      </c>
      <c r="V29" s="3" t="s">
        <v>152</v>
      </c>
      <c r="W29" s="3">
        <v>23.0</v>
      </c>
      <c r="Y29" s="3" t="s">
        <v>58</v>
      </c>
      <c r="Z29" s="3">
        <v>1.0</v>
      </c>
      <c r="AA29" s="3">
        <v>1.0</v>
      </c>
      <c r="AC29" s="3">
        <v>1.0</v>
      </c>
      <c r="AD29" s="3">
        <v>1.0</v>
      </c>
      <c r="AE29" s="3">
        <v>1.04</v>
      </c>
      <c r="AG29" s="3">
        <v>0.04</v>
      </c>
      <c r="AN29" s="3">
        <v>0.0</v>
      </c>
      <c r="AR29" s="3">
        <v>110.0</v>
      </c>
    </row>
    <row r="30" ht="15.75" customHeight="1">
      <c r="A30" s="4">
        <v>111.0</v>
      </c>
      <c r="C30" s="3" t="s">
        <v>153</v>
      </c>
      <c r="D30" s="2" t="b">
        <v>1</v>
      </c>
      <c r="E30" s="2" t="b">
        <v>1</v>
      </c>
      <c r="F30" s="3" t="s">
        <v>154</v>
      </c>
      <c r="G30" s="3" t="s">
        <v>71</v>
      </c>
      <c r="K30" s="3" t="s">
        <v>95</v>
      </c>
      <c r="L30" s="3" t="s">
        <v>50</v>
      </c>
      <c r="M30" s="6" t="s">
        <v>96</v>
      </c>
      <c r="N30" s="3" t="s">
        <v>97</v>
      </c>
      <c r="U30" s="3" t="s">
        <v>67</v>
      </c>
      <c r="V30" s="3" t="s">
        <v>152</v>
      </c>
      <c r="W30" s="3">
        <v>23.0</v>
      </c>
      <c r="Y30" s="3" t="s">
        <v>58</v>
      </c>
      <c r="Z30" s="3">
        <v>1.0</v>
      </c>
      <c r="AA30" s="3">
        <v>1.0</v>
      </c>
      <c r="AC30" s="3">
        <v>1.0</v>
      </c>
      <c r="AD30" s="3">
        <v>1.0</v>
      </c>
      <c r="AE30" s="3">
        <v>0.99</v>
      </c>
      <c r="AG30" s="3">
        <v>0.01</v>
      </c>
      <c r="AN30" s="3">
        <v>0.0</v>
      </c>
      <c r="AR30" s="3">
        <v>111.0</v>
      </c>
    </row>
    <row r="31" ht="15.75" customHeight="1">
      <c r="A31" s="4">
        <v>112.0</v>
      </c>
      <c r="C31" s="3" t="s">
        <v>153</v>
      </c>
      <c r="D31" s="2" t="b">
        <v>1</v>
      </c>
      <c r="E31" s="2" t="b">
        <v>1</v>
      </c>
      <c r="F31" s="3" t="s">
        <v>84</v>
      </c>
      <c r="G31" s="3" t="s">
        <v>71</v>
      </c>
      <c r="H31" s="4"/>
      <c r="I31" s="3" t="s">
        <v>85</v>
      </c>
      <c r="K31" s="3" t="s">
        <v>106</v>
      </c>
      <c r="L31" s="3" t="s">
        <v>50</v>
      </c>
      <c r="M31" s="6" t="s">
        <v>107</v>
      </c>
      <c r="N31" s="3" t="s">
        <v>108</v>
      </c>
      <c r="U31" s="3" t="s">
        <v>67</v>
      </c>
      <c r="V31" s="3" t="s">
        <v>152</v>
      </c>
      <c r="W31" s="3">
        <v>23.0</v>
      </c>
      <c r="Y31" s="3" t="s">
        <v>58</v>
      </c>
      <c r="Z31" s="3">
        <v>1.0</v>
      </c>
      <c r="AA31" s="3">
        <v>1.0</v>
      </c>
      <c r="AC31" s="3">
        <v>1.0</v>
      </c>
      <c r="AD31" s="3">
        <v>1.0</v>
      </c>
      <c r="AE31" s="3">
        <v>0.41</v>
      </c>
      <c r="AG31" s="3">
        <v>0.02</v>
      </c>
      <c r="AN31" s="3">
        <v>0.0</v>
      </c>
      <c r="AR31" s="3">
        <v>112.0</v>
      </c>
    </row>
    <row r="32" ht="15.75" customHeight="1">
      <c r="A32" s="4">
        <v>113.0</v>
      </c>
      <c r="C32" s="3" t="s">
        <v>153</v>
      </c>
      <c r="D32" s="2" t="b">
        <v>1</v>
      </c>
      <c r="E32" s="2" t="b">
        <v>1</v>
      </c>
      <c r="F32" s="3" t="s">
        <v>154</v>
      </c>
      <c r="G32" s="3" t="s">
        <v>71</v>
      </c>
      <c r="K32" s="3" t="s">
        <v>106</v>
      </c>
      <c r="L32" s="3" t="s">
        <v>50</v>
      </c>
      <c r="M32" s="6" t="s">
        <v>107</v>
      </c>
      <c r="N32" s="3" t="s">
        <v>108</v>
      </c>
      <c r="U32" s="3" t="s">
        <v>67</v>
      </c>
      <c r="V32" s="3" t="s">
        <v>152</v>
      </c>
      <c r="W32" s="3">
        <v>23.0</v>
      </c>
      <c r="Y32" s="3" t="s">
        <v>58</v>
      </c>
      <c r="Z32" s="3">
        <v>1.0</v>
      </c>
      <c r="AA32" s="3">
        <v>1.0</v>
      </c>
      <c r="AC32" s="3">
        <v>1.0</v>
      </c>
      <c r="AD32" s="3">
        <v>1.0</v>
      </c>
      <c r="AE32" s="3">
        <v>0.39</v>
      </c>
      <c r="AG32" s="3">
        <v>0.01</v>
      </c>
      <c r="AN32" s="3">
        <v>0.0</v>
      </c>
      <c r="AR32" s="3">
        <v>113.0</v>
      </c>
    </row>
    <row r="33" ht="15.75" customHeight="1">
      <c r="A33" s="4">
        <v>114.0</v>
      </c>
      <c r="C33" s="3" t="s">
        <v>153</v>
      </c>
      <c r="D33" s="2" t="b">
        <v>1</v>
      </c>
      <c r="E33" s="2" t="b">
        <v>1</v>
      </c>
      <c r="F33" s="3" t="s">
        <v>106</v>
      </c>
      <c r="G33" s="3" t="s">
        <v>50</v>
      </c>
      <c r="H33" s="6" t="s">
        <v>107</v>
      </c>
      <c r="I33" s="3" t="s">
        <v>108</v>
      </c>
      <c r="K33" s="3" t="s">
        <v>95</v>
      </c>
      <c r="L33" s="3" t="s">
        <v>50</v>
      </c>
      <c r="M33" s="6" t="s">
        <v>96</v>
      </c>
      <c r="N33" s="3" t="s">
        <v>97</v>
      </c>
      <c r="U33" s="3" t="s">
        <v>67</v>
      </c>
      <c r="V33" s="3" t="s">
        <v>68</v>
      </c>
      <c r="W33" s="3">
        <v>23.0</v>
      </c>
      <c r="Y33" s="3" t="s">
        <v>58</v>
      </c>
      <c r="Z33" s="3">
        <v>1.0</v>
      </c>
      <c r="AA33" s="3">
        <v>1.0</v>
      </c>
      <c r="AD33" s="3">
        <v>2.0</v>
      </c>
      <c r="AE33" s="3">
        <v>0.48</v>
      </c>
      <c r="AG33" s="3">
        <v>0.06</v>
      </c>
      <c r="AN33" s="3">
        <v>0.0</v>
      </c>
      <c r="AR33" s="3">
        <v>114.0</v>
      </c>
    </row>
    <row r="34" ht="15.75" customHeight="1">
      <c r="A34" s="4">
        <v>115.0</v>
      </c>
      <c r="B34" s="3" t="s">
        <v>155</v>
      </c>
      <c r="C34" s="3" t="s">
        <v>156</v>
      </c>
      <c r="D34" s="5"/>
      <c r="E34" s="5" t="b">
        <v>0</v>
      </c>
      <c r="F34" s="3" t="s">
        <v>157</v>
      </c>
      <c r="G34" s="3" t="s">
        <v>50</v>
      </c>
      <c r="H34" s="6" t="s">
        <v>158</v>
      </c>
      <c r="I34" s="3" t="s">
        <v>159</v>
      </c>
      <c r="K34" s="3" t="s">
        <v>49</v>
      </c>
      <c r="L34" s="3" t="s">
        <v>50</v>
      </c>
      <c r="M34" s="6" t="s">
        <v>51</v>
      </c>
      <c r="N34" s="3" t="s">
        <v>52</v>
      </c>
      <c r="P34" s="7"/>
      <c r="U34" s="3" t="s">
        <v>56</v>
      </c>
      <c r="V34" s="3" t="s">
        <v>144</v>
      </c>
      <c r="W34" s="3">
        <v>25.0</v>
      </c>
      <c r="Y34" s="3" t="s">
        <v>58</v>
      </c>
      <c r="Z34" s="3">
        <v>0.0</v>
      </c>
      <c r="AA34" s="3">
        <v>1.0</v>
      </c>
      <c r="AE34" s="3">
        <v>0.46</v>
      </c>
      <c r="AH34" s="3">
        <v>0.29</v>
      </c>
      <c r="AJ34" s="3">
        <v>51.3</v>
      </c>
      <c r="AN34" s="3">
        <v>1.0</v>
      </c>
      <c r="AP34" s="3" t="s">
        <v>155</v>
      </c>
      <c r="AR34" s="3">
        <v>115.0</v>
      </c>
    </row>
    <row r="35" ht="15.75" customHeight="1">
      <c r="A35" s="4">
        <v>118.0</v>
      </c>
      <c r="C35" s="3" t="s">
        <v>160</v>
      </c>
      <c r="D35" s="2" t="b">
        <v>1</v>
      </c>
      <c r="E35" s="2" t="b">
        <v>1</v>
      </c>
      <c r="F35" s="3" t="s">
        <v>161</v>
      </c>
      <c r="G35" s="3" t="s">
        <v>50</v>
      </c>
      <c r="H35" s="8" t="s">
        <v>162</v>
      </c>
      <c r="I35" s="3" t="s">
        <v>163</v>
      </c>
      <c r="K35" s="3" t="s">
        <v>164</v>
      </c>
      <c r="L35" s="3" t="s">
        <v>50</v>
      </c>
      <c r="M35" s="6" t="s">
        <v>165</v>
      </c>
      <c r="N35" s="3" t="s">
        <v>166</v>
      </c>
      <c r="P35" s="3"/>
      <c r="Q35" s="3"/>
      <c r="R35" s="3">
        <v>49800.0</v>
      </c>
      <c r="S35" s="3">
        <v>48900.0</v>
      </c>
      <c r="T35" s="3" t="s">
        <v>167</v>
      </c>
      <c r="U35" s="3" t="s">
        <v>67</v>
      </c>
      <c r="V35" s="3" t="s">
        <v>168</v>
      </c>
      <c r="W35" s="3">
        <v>150.0</v>
      </c>
      <c r="Y35" s="3" t="s">
        <v>58</v>
      </c>
      <c r="Z35" s="3">
        <v>0.0</v>
      </c>
      <c r="AA35" s="3">
        <v>1.0</v>
      </c>
      <c r="AD35" s="3">
        <v>4.0</v>
      </c>
      <c r="AE35" s="3">
        <v>0.0054</v>
      </c>
      <c r="AG35" s="3">
        <v>8.0E-4</v>
      </c>
      <c r="AN35" s="3">
        <v>0.0</v>
      </c>
      <c r="AR35" s="3">
        <v>118.0</v>
      </c>
    </row>
    <row r="36" ht="15.75" customHeight="1">
      <c r="A36" s="4">
        <v>124.0</v>
      </c>
      <c r="C36" s="3" t="s">
        <v>169</v>
      </c>
      <c r="D36" s="5"/>
      <c r="E36" s="5" t="b">
        <v>0</v>
      </c>
      <c r="F36" s="3" t="s">
        <v>106</v>
      </c>
      <c r="G36" s="3" t="s">
        <v>50</v>
      </c>
      <c r="H36" s="6" t="s">
        <v>107</v>
      </c>
      <c r="I36" s="3" t="s">
        <v>108</v>
      </c>
      <c r="J36" s="3">
        <v>0.65</v>
      </c>
      <c r="K36" s="3" t="s">
        <v>135</v>
      </c>
      <c r="L36" s="3" t="s">
        <v>50</v>
      </c>
      <c r="M36" s="8" t="s">
        <v>62</v>
      </c>
      <c r="N36" s="3" t="s">
        <v>136</v>
      </c>
      <c r="O36" s="3">
        <v>0.35</v>
      </c>
      <c r="P36" s="7"/>
      <c r="T36" s="3" t="s">
        <v>122</v>
      </c>
      <c r="U36" s="3" t="s">
        <v>56</v>
      </c>
      <c r="V36" s="3" t="s">
        <v>170</v>
      </c>
      <c r="W36" s="3">
        <v>140.0</v>
      </c>
      <c r="Y36" s="3" t="s">
        <v>58</v>
      </c>
      <c r="Z36" s="3">
        <v>0.0</v>
      </c>
      <c r="AA36" s="3">
        <v>1.0</v>
      </c>
      <c r="AE36" s="3">
        <v>10.4</v>
      </c>
      <c r="AF36" s="3">
        <v>14.8</v>
      </c>
      <c r="AH36" s="3">
        <v>0.0209</v>
      </c>
      <c r="AJ36" s="3">
        <v>2.87</v>
      </c>
      <c r="AN36" s="3">
        <v>0.0</v>
      </c>
      <c r="AQ36" s="3" t="s">
        <v>171</v>
      </c>
      <c r="AR36" s="3">
        <v>124.0</v>
      </c>
      <c r="AS36" s="3">
        <v>118.0</v>
      </c>
      <c r="AT36" s="3" t="s">
        <v>59</v>
      </c>
    </row>
    <row r="37" ht="15.75" customHeight="1">
      <c r="A37" s="4">
        <v>126.0</v>
      </c>
      <c r="B37" s="3" t="s">
        <v>172</v>
      </c>
      <c r="C37" s="3" t="s">
        <v>173</v>
      </c>
      <c r="D37" s="5"/>
      <c r="E37" s="5" t="b">
        <v>0</v>
      </c>
      <c r="F37" s="3" t="s">
        <v>106</v>
      </c>
      <c r="G37" s="3" t="s">
        <v>50</v>
      </c>
      <c r="H37" s="6" t="s">
        <v>107</v>
      </c>
      <c r="I37" s="3" t="s">
        <v>108</v>
      </c>
      <c r="J37" s="3">
        <v>0.54</v>
      </c>
      <c r="K37" s="3" t="s">
        <v>174</v>
      </c>
      <c r="L37" s="3" t="s">
        <v>50</v>
      </c>
      <c r="M37" s="6" t="s">
        <v>175</v>
      </c>
      <c r="N37" s="3" t="s">
        <v>176</v>
      </c>
      <c r="O37" s="3">
        <v>0.46</v>
      </c>
      <c r="P37" s="14"/>
      <c r="Q37" s="3"/>
      <c r="R37" s="3">
        <v>9.5</v>
      </c>
      <c r="S37" s="3">
        <v>9.0</v>
      </c>
      <c r="T37" s="3" t="s">
        <v>122</v>
      </c>
      <c r="U37" s="3" t="s">
        <v>56</v>
      </c>
      <c r="V37" s="3" t="s">
        <v>177</v>
      </c>
      <c r="W37" s="3">
        <v>167.0</v>
      </c>
      <c r="Y37" s="3" t="s">
        <v>178</v>
      </c>
      <c r="Z37" s="3">
        <v>0.0</v>
      </c>
      <c r="AA37" s="3">
        <v>1.0</v>
      </c>
      <c r="AH37" s="3">
        <v>-0.913</v>
      </c>
      <c r="AJ37" s="3">
        <v>412.0</v>
      </c>
      <c r="AN37" s="3">
        <v>1.0</v>
      </c>
      <c r="AP37" s="3" t="s">
        <v>172</v>
      </c>
      <c r="AR37" s="3">
        <v>126.0</v>
      </c>
    </row>
    <row r="38" ht="15.75" customHeight="1">
      <c r="A38" s="4">
        <v>127.0</v>
      </c>
      <c r="C38" s="3" t="s">
        <v>179</v>
      </c>
      <c r="D38" s="5"/>
      <c r="E38" s="5" t="b">
        <v>0</v>
      </c>
      <c r="F38" s="3" t="s">
        <v>180</v>
      </c>
      <c r="G38" s="3" t="s">
        <v>50</v>
      </c>
      <c r="H38" s="6" t="s">
        <v>181</v>
      </c>
      <c r="I38" s="3" t="s">
        <v>182</v>
      </c>
      <c r="K38" s="3" t="s">
        <v>135</v>
      </c>
      <c r="L38" s="3" t="s">
        <v>50</v>
      </c>
      <c r="M38" s="8" t="s">
        <v>62</v>
      </c>
      <c r="N38" s="3" t="s">
        <v>136</v>
      </c>
      <c r="P38" s="7"/>
      <c r="U38" s="3" t="s">
        <v>56</v>
      </c>
      <c r="V38" s="3" t="s">
        <v>183</v>
      </c>
      <c r="Z38" s="3">
        <v>1.0</v>
      </c>
      <c r="AA38" s="3">
        <v>0.0</v>
      </c>
      <c r="AH38" s="3">
        <v>-0.162</v>
      </c>
      <c r="AI38" s="3">
        <v>0.013</v>
      </c>
      <c r="AJ38" s="3">
        <v>144.4</v>
      </c>
      <c r="AK38" s="3">
        <v>6.2</v>
      </c>
      <c r="AN38" s="3">
        <v>0.0</v>
      </c>
      <c r="AR38" s="3">
        <v>127.0</v>
      </c>
      <c r="AS38" s="3">
        <v>118.0</v>
      </c>
      <c r="AT38" s="3" t="s">
        <v>59</v>
      </c>
    </row>
    <row r="39" ht="15.75" customHeight="1">
      <c r="A39" s="4">
        <v>128.0</v>
      </c>
      <c r="C39" s="3" t="s">
        <v>184</v>
      </c>
      <c r="D39" s="2" t="b">
        <v>1</v>
      </c>
      <c r="E39" s="2" t="b">
        <v>1</v>
      </c>
      <c r="F39" s="3" t="s">
        <v>185</v>
      </c>
      <c r="G39" s="3" t="s">
        <v>50</v>
      </c>
      <c r="H39" s="6" t="s">
        <v>186</v>
      </c>
      <c r="I39" s="3" t="s">
        <v>187</v>
      </c>
      <c r="K39" s="3" t="s">
        <v>188</v>
      </c>
      <c r="L39" s="3" t="s">
        <v>50</v>
      </c>
      <c r="M39" s="8" t="s">
        <v>189</v>
      </c>
      <c r="N39" s="3" t="s">
        <v>190</v>
      </c>
      <c r="U39" s="3" t="s">
        <v>56</v>
      </c>
      <c r="V39" s="3" t="s">
        <v>191</v>
      </c>
      <c r="W39" s="3">
        <v>373.0</v>
      </c>
      <c r="X39" s="3">
        <v>413.0</v>
      </c>
      <c r="Y39" s="3" t="s">
        <v>178</v>
      </c>
      <c r="Z39" s="3">
        <v>0.0</v>
      </c>
      <c r="AA39" s="3">
        <v>1.0</v>
      </c>
      <c r="AH39" s="3">
        <v>0.092</v>
      </c>
      <c r="AJ39" s="3">
        <v>-39.622</v>
      </c>
      <c r="AN39" s="3">
        <v>0.0</v>
      </c>
      <c r="AR39" s="3">
        <v>128.0</v>
      </c>
      <c r="AS39" s="3">
        <v>0.1</v>
      </c>
      <c r="AT39" s="3" t="s">
        <v>88</v>
      </c>
    </row>
    <row r="40" ht="15.75" customHeight="1">
      <c r="A40" s="4">
        <v>129.0</v>
      </c>
      <c r="C40" s="3" t="s">
        <v>192</v>
      </c>
      <c r="D40" s="2" t="b">
        <v>1</v>
      </c>
      <c r="E40" s="2" t="b">
        <v>1</v>
      </c>
      <c r="F40" s="3" t="s">
        <v>106</v>
      </c>
      <c r="G40" s="3" t="s">
        <v>50</v>
      </c>
      <c r="H40" s="6" t="s">
        <v>107</v>
      </c>
      <c r="I40" s="3" t="s">
        <v>108</v>
      </c>
      <c r="K40" s="3" t="s">
        <v>193</v>
      </c>
      <c r="L40" s="3" t="s">
        <v>50</v>
      </c>
      <c r="M40" s="1" t="s">
        <v>194</v>
      </c>
      <c r="N40" s="3" t="s">
        <v>195</v>
      </c>
      <c r="U40" s="3" t="s">
        <v>196</v>
      </c>
      <c r="V40" s="3" t="s">
        <v>79</v>
      </c>
      <c r="W40" s="3">
        <v>105.0</v>
      </c>
      <c r="Y40" s="3" t="s">
        <v>58</v>
      </c>
      <c r="Z40" s="3">
        <v>0.0</v>
      </c>
      <c r="AA40" s="3">
        <v>0.0</v>
      </c>
      <c r="AD40" s="3">
        <v>1.0</v>
      </c>
      <c r="AN40" s="3">
        <v>0.0</v>
      </c>
      <c r="AQ40" s="3" t="s">
        <v>197</v>
      </c>
      <c r="AR40" s="3">
        <v>129.0</v>
      </c>
    </row>
    <row r="41" ht="15.75" customHeight="1">
      <c r="A41" s="4">
        <v>130.0</v>
      </c>
      <c r="C41" s="3" t="s">
        <v>184</v>
      </c>
      <c r="D41" s="2" t="b">
        <v>1</v>
      </c>
      <c r="E41" s="2" t="b">
        <v>1</v>
      </c>
      <c r="F41" s="3" t="s">
        <v>135</v>
      </c>
      <c r="G41" s="3" t="s">
        <v>50</v>
      </c>
      <c r="H41" s="8" t="s">
        <v>62</v>
      </c>
      <c r="I41" s="3" t="s">
        <v>136</v>
      </c>
      <c r="K41" s="3" t="s">
        <v>198</v>
      </c>
      <c r="L41" s="3" t="s">
        <v>71</v>
      </c>
      <c r="M41" s="4"/>
      <c r="N41" s="3" t="s">
        <v>199</v>
      </c>
      <c r="U41" s="3" t="s">
        <v>67</v>
      </c>
      <c r="V41" s="3" t="s">
        <v>168</v>
      </c>
      <c r="W41" s="3">
        <v>313.0</v>
      </c>
      <c r="Y41" s="3" t="s">
        <v>87</v>
      </c>
      <c r="Z41" s="3">
        <v>0.0</v>
      </c>
      <c r="AA41" s="3">
        <v>1.0</v>
      </c>
      <c r="AE41" s="3">
        <v>1.499</v>
      </c>
      <c r="AN41" s="3">
        <v>0.0</v>
      </c>
      <c r="AQ41" s="3" t="s">
        <v>200</v>
      </c>
      <c r="AR41" s="3">
        <v>130.0</v>
      </c>
      <c r="AS41" s="3">
        <v>0.1</v>
      </c>
      <c r="AT41" s="3" t="s">
        <v>88</v>
      </c>
    </row>
    <row r="42" ht="15.75" customHeight="1">
      <c r="A42" s="4">
        <v>134.0</v>
      </c>
      <c r="C42" s="3" t="s">
        <v>184</v>
      </c>
      <c r="D42" s="2" t="b">
        <v>1</v>
      </c>
      <c r="E42" s="2" t="b">
        <v>1</v>
      </c>
      <c r="F42" s="3" t="s">
        <v>185</v>
      </c>
      <c r="G42" s="3" t="s">
        <v>50</v>
      </c>
      <c r="H42" s="6" t="s">
        <v>186</v>
      </c>
      <c r="I42" s="3" t="s">
        <v>187</v>
      </c>
      <c r="K42" s="3" t="s">
        <v>198</v>
      </c>
      <c r="L42" s="3" t="s">
        <v>71</v>
      </c>
      <c r="M42" s="4"/>
      <c r="N42" s="3" t="s">
        <v>199</v>
      </c>
      <c r="U42" s="3" t="s">
        <v>67</v>
      </c>
      <c r="V42" s="3" t="s">
        <v>168</v>
      </c>
      <c r="W42" s="3">
        <v>313.0</v>
      </c>
      <c r="Y42" s="3" t="s">
        <v>87</v>
      </c>
      <c r="Z42" s="3">
        <v>0.0</v>
      </c>
      <c r="AA42" s="3">
        <v>1.0</v>
      </c>
      <c r="AE42" s="3">
        <v>1.512</v>
      </c>
      <c r="AN42" s="3">
        <v>0.0</v>
      </c>
      <c r="AQ42" s="3" t="s">
        <v>200</v>
      </c>
      <c r="AR42" s="3">
        <v>134.0</v>
      </c>
      <c r="AS42" s="3">
        <v>0.1</v>
      </c>
      <c r="AT42" s="3" t="s">
        <v>88</v>
      </c>
    </row>
    <row r="43" ht="15.75" customHeight="1">
      <c r="A43" s="4">
        <v>137.0</v>
      </c>
      <c r="C43" s="3" t="s">
        <v>201</v>
      </c>
      <c r="D43" s="5"/>
      <c r="E43" s="5" t="b">
        <v>0</v>
      </c>
      <c r="F43" s="3" t="s">
        <v>202</v>
      </c>
      <c r="G43" s="3" t="s">
        <v>50</v>
      </c>
      <c r="H43" s="6" t="s">
        <v>203</v>
      </c>
      <c r="K43" s="3" t="s">
        <v>61</v>
      </c>
      <c r="L43" s="3" t="s">
        <v>50</v>
      </c>
      <c r="M43" s="6" t="s">
        <v>62</v>
      </c>
      <c r="N43" s="3" t="s">
        <v>63</v>
      </c>
      <c r="P43" s="14"/>
      <c r="Q43" s="3"/>
      <c r="R43" s="3">
        <v>20.5</v>
      </c>
      <c r="S43" s="3">
        <v>20.5</v>
      </c>
      <c r="T43" s="3" t="s">
        <v>204</v>
      </c>
      <c r="U43" s="3" t="s">
        <v>67</v>
      </c>
      <c r="V43" s="3" t="s">
        <v>79</v>
      </c>
      <c r="W43" s="3">
        <v>293.0</v>
      </c>
      <c r="Y43" s="3" t="s">
        <v>87</v>
      </c>
      <c r="Z43" s="3">
        <v>0.0</v>
      </c>
      <c r="AA43" s="3">
        <v>0.0</v>
      </c>
      <c r="AD43" s="3">
        <v>2.0</v>
      </c>
      <c r="AE43" s="3">
        <v>0.06</v>
      </c>
      <c r="AN43" s="3">
        <v>0.0</v>
      </c>
      <c r="AR43" s="3">
        <v>137.0</v>
      </c>
      <c r="AS43" s="3">
        <v>149.0</v>
      </c>
      <c r="AT43" s="3" t="s">
        <v>59</v>
      </c>
    </row>
    <row r="44" ht="15.75" customHeight="1">
      <c r="A44" s="4">
        <v>139.0</v>
      </c>
      <c r="C44" s="3" t="s">
        <v>201</v>
      </c>
      <c r="D44" s="5"/>
      <c r="E44" s="5" t="b">
        <v>0</v>
      </c>
      <c r="F44" s="3" t="s">
        <v>202</v>
      </c>
      <c r="G44" s="3" t="s">
        <v>50</v>
      </c>
      <c r="H44" s="6" t="s">
        <v>203</v>
      </c>
      <c r="K44" s="3" t="s">
        <v>205</v>
      </c>
      <c r="L44" s="3" t="s">
        <v>50</v>
      </c>
      <c r="M44" s="6" t="s">
        <v>206</v>
      </c>
      <c r="P44" s="14"/>
      <c r="Q44" s="3"/>
      <c r="R44" s="3">
        <v>10.1</v>
      </c>
      <c r="S44" s="3">
        <v>10.1</v>
      </c>
      <c r="T44" s="3" t="s">
        <v>204</v>
      </c>
      <c r="U44" s="3" t="s">
        <v>67</v>
      </c>
      <c r="V44" s="3" t="s">
        <v>79</v>
      </c>
      <c r="W44" s="3">
        <v>293.0</v>
      </c>
      <c r="Y44" s="3" t="s">
        <v>87</v>
      </c>
      <c r="Z44" s="3">
        <v>0.0</v>
      </c>
      <c r="AA44" s="3">
        <v>0.0</v>
      </c>
      <c r="AD44" s="3">
        <v>2.0</v>
      </c>
      <c r="AE44" s="3">
        <v>0.13</v>
      </c>
      <c r="AN44" s="3">
        <v>0.0</v>
      </c>
      <c r="AR44" s="3">
        <v>139.0</v>
      </c>
      <c r="AS44" s="3">
        <v>149.0</v>
      </c>
      <c r="AT44" s="3" t="s">
        <v>59</v>
      </c>
    </row>
    <row r="45" ht="15.75" customHeight="1">
      <c r="A45" s="4">
        <v>140.0</v>
      </c>
      <c r="C45" s="3" t="s">
        <v>201</v>
      </c>
      <c r="D45" s="5"/>
      <c r="E45" s="5" t="b">
        <v>0</v>
      </c>
      <c r="F45" s="3" t="s">
        <v>61</v>
      </c>
      <c r="G45" s="3" t="s">
        <v>50</v>
      </c>
      <c r="H45" s="6" t="s">
        <v>62</v>
      </c>
      <c r="I45" s="3" t="s">
        <v>63</v>
      </c>
      <c r="K45" s="3" t="s">
        <v>205</v>
      </c>
      <c r="L45" s="3" t="s">
        <v>50</v>
      </c>
      <c r="M45" s="6" t="s">
        <v>206</v>
      </c>
      <c r="P45" s="14"/>
      <c r="Q45" s="3"/>
      <c r="R45" s="3">
        <v>19.3</v>
      </c>
      <c r="S45" s="3">
        <v>19.3</v>
      </c>
      <c r="T45" s="3" t="s">
        <v>204</v>
      </c>
      <c r="U45" s="3" t="s">
        <v>67</v>
      </c>
      <c r="V45" s="3" t="s">
        <v>79</v>
      </c>
      <c r="W45" s="3">
        <v>293.0</v>
      </c>
      <c r="Y45" s="3" t="s">
        <v>87</v>
      </c>
      <c r="Z45" s="3">
        <v>0.0</v>
      </c>
      <c r="AA45" s="3">
        <v>0.0</v>
      </c>
      <c r="AD45" s="3">
        <v>2.0</v>
      </c>
      <c r="AE45" s="3">
        <v>0.07</v>
      </c>
      <c r="AN45" s="3">
        <v>0.0</v>
      </c>
      <c r="AR45" s="3">
        <v>140.0</v>
      </c>
      <c r="AS45" s="3">
        <v>149.0</v>
      </c>
      <c r="AT45" s="3" t="s">
        <v>59</v>
      </c>
    </row>
    <row r="46" ht="15.75" customHeight="1">
      <c r="A46" s="4">
        <v>143.0</v>
      </c>
      <c r="C46" s="3" t="s">
        <v>207</v>
      </c>
      <c r="D46" s="2" t="b">
        <v>1</v>
      </c>
      <c r="E46" s="2" t="b">
        <v>1</v>
      </c>
      <c r="F46" s="3" t="s">
        <v>208</v>
      </c>
      <c r="G46" s="3" t="s">
        <v>50</v>
      </c>
      <c r="H46" s="6" t="s">
        <v>209</v>
      </c>
      <c r="I46" s="3" t="s">
        <v>210</v>
      </c>
      <c r="J46" s="3">
        <v>0.26</v>
      </c>
      <c r="K46" s="3" t="s">
        <v>211</v>
      </c>
      <c r="L46" s="3" t="s">
        <v>71</v>
      </c>
      <c r="M46" s="4"/>
      <c r="N46" s="3" t="s">
        <v>212</v>
      </c>
      <c r="O46" s="3">
        <v>0.74</v>
      </c>
      <c r="P46" s="3"/>
      <c r="Q46" s="3"/>
      <c r="R46" s="3">
        <v>46.0</v>
      </c>
      <c r="T46" s="3" t="s">
        <v>167</v>
      </c>
      <c r="U46" s="3" t="s">
        <v>56</v>
      </c>
      <c r="V46" s="3" t="s">
        <v>213</v>
      </c>
      <c r="W46" s="3">
        <v>20.0</v>
      </c>
      <c r="Y46" s="3" t="s">
        <v>58</v>
      </c>
      <c r="Z46" s="3">
        <v>0.0</v>
      </c>
      <c r="AA46" s="3">
        <v>0.0</v>
      </c>
      <c r="AC46" s="3">
        <v>1.0</v>
      </c>
      <c r="AH46" s="3">
        <v>1.0</v>
      </c>
      <c r="AJ46" s="3">
        <v>-119.0</v>
      </c>
      <c r="AN46" s="3">
        <v>0.0</v>
      </c>
      <c r="AR46" s="3">
        <v>143.0</v>
      </c>
    </row>
    <row r="47" ht="15.75" customHeight="1">
      <c r="A47" s="4">
        <v>144.0</v>
      </c>
      <c r="C47" s="3" t="s">
        <v>207</v>
      </c>
      <c r="D47" s="2" t="b">
        <v>1</v>
      </c>
      <c r="E47" s="2" t="b">
        <v>1</v>
      </c>
      <c r="F47" s="3" t="s">
        <v>208</v>
      </c>
      <c r="G47" s="3" t="s">
        <v>50</v>
      </c>
      <c r="H47" s="6" t="s">
        <v>209</v>
      </c>
      <c r="I47" s="3" t="s">
        <v>210</v>
      </c>
      <c r="J47" s="3">
        <v>0.07</v>
      </c>
      <c r="K47" s="3" t="s">
        <v>211</v>
      </c>
      <c r="L47" s="3" t="s">
        <v>71</v>
      </c>
      <c r="M47" s="4"/>
      <c r="N47" s="3" t="s">
        <v>212</v>
      </c>
      <c r="O47" s="3">
        <v>0.93</v>
      </c>
      <c r="P47" s="3"/>
      <c r="Q47" s="3"/>
      <c r="R47" s="3">
        <v>115.0</v>
      </c>
      <c r="T47" s="3" t="s">
        <v>167</v>
      </c>
      <c r="U47" s="3" t="s">
        <v>56</v>
      </c>
      <c r="V47" s="3" t="s">
        <v>213</v>
      </c>
      <c r="W47" s="3">
        <v>20.0</v>
      </c>
      <c r="Y47" s="3" t="s">
        <v>58</v>
      </c>
      <c r="Z47" s="3">
        <v>0.0</v>
      </c>
      <c r="AA47" s="3">
        <v>0.0</v>
      </c>
      <c r="AC47" s="3">
        <v>1.0</v>
      </c>
      <c r="AH47" s="3">
        <v>0.79</v>
      </c>
      <c r="AJ47" s="3">
        <v>-83.0</v>
      </c>
      <c r="AN47" s="3">
        <v>0.0</v>
      </c>
      <c r="AR47" s="3">
        <v>144.0</v>
      </c>
    </row>
    <row r="48" ht="15.75" customHeight="1">
      <c r="A48" s="4">
        <v>145.0</v>
      </c>
      <c r="C48" s="3" t="s">
        <v>207</v>
      </c>
      <c r="D48" s="2" t="b">
        <v>1</v>
      </c>
      <c r="E48" s="2" t="b">
        <v>1</v>
      </c>
      <c r="F48" s="3" t="s">
        <v>208</v>
      </c>
      <c r="G48" s="3" t="s">
        <v>50</v>
      </c>
      <c r="H48" s="6" t="s">
        <v>209</v>
      </c>
      <c r="I48" s="3" t="s">
        <v>210</v>
      </c>
      <c r="J48" s="3">
        <v>0.14</v>
      </c>
      <c r="K48" s="3" t="s">
        <v>211</v>
      </c>
      <c r="L48" s="3" t="s">
        <v>71</v>
      </c>
      <c r="M48" s="4"/>
      <c r="N48" s="3" t="s">
        <v>212</v>
      </c>
      <c r="O48" s="3">
        <v>0.86</v>
      </c>
      <c r="P48" s="3"/>
      <c r="Q48" s="3"/>
      <c r="R48" s="3">
        <v>115.0</v>
      </c>
      <c r="T48" s="3" t="s">
        <v>167</v>
      </c>
      <c r="U48" s="3" t="s">
        <v>56</v>
      </c>
      <c r="V48" s="3" t="s">
        <v>213</v>
      </c>
      <c r="W48" s="3">
        <v>20.0</v>
      </c>
      <c r="Y48" s="3" t="s">
        <v>58</v>
      </c>
      <c r="Z48" s="3">
        <v>0.0</v>
      </c>
      <c r="AA48" s="3">
        <v>0.0</v>
      </c>
      <c r="AC48" s="3">
        <v>1.0</v>
      </c>
      <c r="AH48" s="3">
        <v>0.83</v>
      </c>
      <c r="AJ48" s="3">
        <v>-87.0</v>
      </c>
      <c r="AN48" s="3">
        <v>0.0</v>
      </c>
      <c r="AR48" s="3">
        <v>145.0</v>
      </c>
    </row>
    <row r="49" ht="15.75" customHeight="1">
      <c r="A49" s="4">
        <v>146.0</v>
      </c>
      <c r="C49" s="3" t="s">
        <v>207</v>
      </c>
      <c r="D49" s="2" t="b">
        <v>1</v>
      </c>
      <c r="E49" s="2" t="b">
        <v>1</v>
      </c>
      <c r="F49" s="3" t="s">
        <v>208</v>
      </c>
      <c r="G49" s="3" t="s">
        <v>50</v>
      </c>
      <c r="H49" s="6" t="s">
        <v>209</v>
      </c>
      <c r="I49" s="3" t="s">
        <v>210</v>
      </c>
      <c r="J49" s="3">
        <v>0.26</v>
      </c>
      <c r="K49" s="3" t="s">
        <v>211</v>
      </c>
      <c r="L49" s="3" t="s">
        <v>71</v>
      </c>
      <c r="M49" s="4"/>
      <c r="N49" s="3" t="s">
        <v>212</v>
      </c>
      <c r="O49" s="3">
        <v>0.74</v>
      </c>
      <c r="P49" s="3"/>
      <c r="Q49" s="3"/>
      <c r="R49" s="3">
        <v>115.0</v>
      </c>
      <c r="T49" s="3" t="s">
        <v>167</v>
      </c>
      <c r="U49" s="3" t="s">
        <v>56</v>
      </c>
      <c r="V49" s="3" t="s">
        <v>213</v>
      </c>
      <c r="W49" s="3">
        <v>20.0</v>
      </c>
      <c r="Y49" s="3" t="s">
        <v>58</v>
      </c>
      <c r="Z49" s="3">
        <v>0.0</v>
      </c>
      <c r="AA49" s="3">
        <v>0.0</v>
      </c>
      <c r="AC49" s="3">
        <v>1.0</v>
      </c>
      <c r="AH49" s="3">
        <v>1.07</v>
      </c>
      <c r="AJ49" s="3">
        <v>-149.0</v>
      </c>
      <c r="AN49" s="3">
        <v>0.0</v>
      </c>
      <c r="AR49" s="3">
        <v>146.0</v>
      </c>
    </row>
    <row r="50" ht="15.75" customHeight="1">
      <c r="A50" s="4">
        <v>152.0</v>
      </c>
      <c r="C50" s="3" t="s">
        <v>214</v>
      </c>
      <c r="D50" s="2" t="b">
        <v>1</v>
      </c>
      <c r="E50" s="2" t="b">
        <v>1</v>
      </c>
      <c r="F50" s="3" t="s">
        <v>215</v>
      </c>
      <c r="G50" s="3" t="s">
        <v>50</v>
      </c>
      <c r="H50" s="8" t="s">
        <v>216</v>
      </c>
      <c r="I50" s="3" t="s">
        <v>217</v>
      </c>
      <c r="K50" s="3" t="s">
        <v>218</v>
      </c>
      <c r="L50" s="3" t="s">
        <v>50</v>
      </c>
      <c r="M50" s="8" t="s">
        <v>219</v>
      </c>
      <c r="N50" s="3" t="s">
        <v>220</v>
      </c>
      <c r="P50" s="3"/>
      <c r="Q50" s="3"/>
      <c r="R50" s="3">
        <v>39800.0</v>
      </c>
      <c r="S50" s="3">
        <v>43500.0</v>
      </c>
      <c r="T50" s="3" t="s">
        <v>167</v>
      </c>
      <c r="U50" s="3" t="s">
        <v>67</v>
      </c>
      <c r="V50" s="3" t="s">
        <v>168</v>
      </c>
      <c r="W50" s="3">
        <v>320.0</v>
      </c>
      <c r="Y50" s="3" t="s">
        <v>87</v>
      </c>
      <c r="Z50" s="3">
        <v>0.0</v>
      </c>
      <c r="AA50" s="3">
        <v>0.0</v>
      </c>
      <c r="AC50" s="3">
        <v>1.0</v>
      </c>
      <c r="AE50" s="3">
        <v>-2.25E-5</v>
      </c>
      <c r="AG50" s="3">
        <v>2.5E-6</v>
      </c>
      <c r="AN50" s="3">
        <v>0.0</v>
      </c>
      <c r="AQ50" s="3" t="s">
        <v>221</v>
      </c>
      <c r="AR50" s="3">
        <v>152.0</v>
      </c>
      <c r="AS50" s="3">
        <v>116.0</v>
      </c>
      <c r="AT50" s="3" t="s">
        <v>59</v>
      </c>
    </row>
    <row r="51" ht="15.75" customHeight="1">
      <c r="A51" s="4">
        <v>153.0</v>
      </c>
      <c r="C51" s="3" t="s">
        <v>214</v>
      </c>
      <c r="D51" s="2" t="b">
        <v>1</v>
      </c>
      <c r="E51" s="2" t="b">
        <v>1</v>
      </c>
      <c r="F51" s="9" t="s">
        <v>222</v>
      </c>
      <c r="G51" s="3" t="s">
        <v>50</v>
      </c>
      <c r="H51" s="8" t="s">
        <v>223</v>
      </c>
      <c r="I51" s="3" t="s">
        <v>224</v>
      </c>
      <c r="K51" s="9" t="s">
        <v>225</v>
      </c>
      <c r="L51" s="3" t="s">
        <v>50</v>
      </c>
      <c r="M51" s="8" t="s">
        <v>226</v>
      </c>
      <c r="N51" s="3" t="s">
        <v>227</v>
      </c>
      <c r="P51" s="3"/>
      <c r="Q51" s="3"/>
      <c r="R51" s="3">
        <v>36800.0</v>
      </c>
      <c r="S51" s="3">
        <v>41700.0</v>
      </c>
      <c r="T51" s="3" t="s">
        <v>167</v>
      </c>
      <c r="U51" s="3" t="s">
        <v>67</v>
      </c>
      <c r="V51" s="3" t="s">
        <v>168</v>
      </c>
      <c r="W51" s="3">
        <v>320.0</v>
      </c>
      <c r="Y51" s="3" t="s">
        <v>87</v>
      </c>
      <c r="Z51" s="3">
        <v>0.0</v>
      </c>
      <c r="AA51" s="3">
        <v>0.0</v>
      </c>
      <c r="AB51" s="3">
        <v>3.0</v>
      </c>
      <c r="AC51" s="3">
        <v>3.0</v>
      </c>
      <c r="AE51" s="3">
        <v>-1.0E-5</v>
      </c>
      <c r="AG51" s="3">
        <v>5.0E-6</v>
      </c>
      <c r="AN51" s="3">
        <v>0.0</v>
      </c>
      <c r="AQ51" s="3" t="s">
        <v>221</v>
      </c>
      <c r="AR51" s="3">
        <v>153.0</v>
      </c>
      <c r="AS51" s="3">
        <v>116.0</v>
      </c>
      <c r="AT51" s="3" t="s">
        <v>59</v>
      </c>
    </row>
    <row r="52" ht="15.75" customHeight="1">
      <c r="A52" s="4">
        <v>154.0</v>
      </c>
      <c r="C52" s="3" t="s">
        <v>214</v>
      </c>
      <c r="D52" s="2" t="b">
        <v>1</v>
      </c>
      <c r="E52" s="2" t="b">
        <v>1</v>
      </c>
      <c r="F52" s="3" t="s">
        <v>228</v>
      </c>
      <c r="G52" s="3" t="s">
        <v>50</v>
      </c>
      <c r="H52" s="1" t="s">
        <v>229</v>
      </c>
      <c r="I52" s="3" t="s">
        <v>230</v>
      </c>
      <c r="K52" s="3" t="s">
        <v>231</v>
      </c>
      <c r="L52" s="3" t="s">
        <v>50</v>
      </c>
      <c r="M52" s="8" t="s">
        <v>232</v>
      </c>
      <c r="N52" s="3" t="s">
        <v>233</v>
      </c>
      <c r="P52" s="3"/>
      <c r="Q52" s="3"/>
      <c r="R52" s="3">
        <v>11900.0</v>
      </c>
      <c r="S52" s="3">
        <v>9870.0</v>
      </c>
      <c r="T52" s="3" t="s">
        <v>234</v>
      </c>
      <c r="U52" s="3" t="s">
        <v>67</v>
      </c>
      <c r="V52" s="3" t="s">
        <v>168</v>
      </c>
      <c r="W52" s="3">
        <v>320.0</v>
      </c>
      <c r="Y52" s="3" t="s">
        <v>87</v>
      </c>
      <c r="Z52" s="3">
        <v>0.0</v>
      </c>
      <c r="AA52" s="3">
        <v>0.0</v>
      </c>
      <c r="AB52" s="3">
        <v>3.0</v>
      </c>
      <c r="AC52" s="3">
        <v>3.0</v>
      </c>
      <c r="AE52" s="3">
        <v>4.6E-5</v>
      </c>
      <c r="AG52" s="3">
        <v>3.3E-5</v>
      </c>
      <c r="AN52" s="3">
        <v>0.0</v>
      </c>
      <c r="AQ52" s="3" t="s">
        <v>221</v>
      </c>
      <c r="AR52" s="3">
        <v>154.0</v>
      </c>
      <c r="AS52" s="3">
        <v>116.0</v>
      </c>
      <c r="AT52" s="3" t="s">
        <v>59</v>
      </c>
    </row>
    <row r="53" ht="15.75" customHeight="1">
      <c r="A53" s="4">
        <v>155.0</v>
      </c>
      <c r="C53" s="3" t="s">
        <v>214</v>
      </c>
      <c r="D53" s="2" t="b">
        <v>1</v>
      </c>
      <c r="E53" s="2" t="b">
        <v>1</v>
      </c>
      <c r="F53" s="3" t="s">
        <v>215</v>
      </c>
      <c r="G53" s="3" t="s">
        <v>50</v>
      </c>
      <c r="H53" s="8" t="s">
        <v>216</v>
      </c>
      <c r="I53" s="3" t="s">
        <v>217</v>
      </c>
      <c r="K53" s="3" t="s">
        <v>218</v>
      </c>
      <c r="L53" s="3" t="s">
        <v>50</v>
      </c>
      <c r="M53" s="8" t="s">
        <v>219</v>
      </c>
      <c r="N53" s="3" t="s">
        <v>220</v>
      </c>
      <c r="P53" s="3"/>
      <c r="Q53" s="3"/>
      <c r="R53" s="3">
        <v>39800.0</v>
      </c>
      <c r="S53" s="3">
        <v>43500.0</v>
      </c>
      <c r="T53" s="3" t="s">
        <v>167</v>
      </c>
      <c r="U53" s="3" t="s">
        <v>67</v>
      </c>
      <c r="V53" s="3" t="s">
        <v>168</v>
      </c>
      <c r="W53" s="3">
        <v>320.0</v>
      </c>
      <c r="Y53" s="3" t="s">
        <v>87</v>
      </c>
      <c r="Z53" s="3">
        <v>0.0</v>
      </c>
      <c r="AA53" s="3">
        <v>0.0</v>
      </c>
      <c r="AB53" s="3">
        <v>3.0</v>
      </c>
      <c r="AC53" s="3">
        <v>3.0</v>
      </c>
      <c r="AE53" s="3">
        <v>4.0E-5</v>
      </c>
      <c r="AG53" s="3">
        <v>1.0E-5</v>
      </c>
      <c r="AN53" s="3">
        <v>0.0</v>
      </c>
      <c r="AQ53" s="3" t="s">
        <v>235</v>
      </c>
      <c r="AR53" s="3">
        <v>155.0</v>
      </c>
      <c r="AS53" s="3">
        <v>116.0</v>
      </c>
      <c r="AT53" s="3" t="s">
        <v>59</v>
      </c>
    </row>
    <row r="54" ht="15.75" customHeight="1">
      <c r="A54" s="4">
        <v>157.0</v>
      </c>
      <c r="C54" s="3" t="s">
        <v>214</v>
      </c>
      <c r="D54" s="2" t="b">
        <v>1</v>
      </c>
      <c r="E54" s="2" t="b">
        <v>1</v>
      </c>
      <c r="F54" s="9" t="s">
        <v>222</v>
      </c>
      <c r="G54" s="3" t="s">
        <v>50</v>
      </c>
      <c r="H54" s="8" t="s">
        <v>223</v>
      </c>
      <c r="I54" s="3" t="s">
        <v>224</v>
      </c>
      <c r="K54" s="9" t="s">
        <v>225</v>
      </c>
      <c r="L54" s="3" t="s">
        <v>50</v>
      </c>
      <c r="M54" s="8" t="s">
        <v>226</v>
      </c>
      <c r="N54" s="3" t="s">
        <v>227</v>
      </c>
      <c r="P54" s="3"/>
      <c r="Q54" s="3"/>
      <c r="R54" s="3">
        <v>36800.0</v>
      </c>
      <c r="S54" s="3">
        <v>41700.0</v>
      </c>
      <c r="T54" s="3" t="s">
        <v>167</v>
      </c>
      <c r="U54" s="3" t="s">
        <v>67</v>
      </c>
      <c r="V54" s="3" t="s">
        <v>168</v>
      </c>
      <c r="W54" s="3">
        <v>320.0</v>
      </c>
      <c r="Y54" s="3" t="s">
        <v>87</v>
      </c>
      <c r="Z54" s="3">
        <v>0.0</v>
      </c>
      <c r="AA54" s="3">
        <v>0.0</v>
      </c>
      <c r="AB54" s="3">
        <v>3.0</v>
      </c>
      <c r="AC54" s="3">
        <v>3.0</v>
      </c>
      <c r="AE54" s="3">
        <v>5.0E-5</v>
      </c>
      <c r="AG54" s="3">
        <v>1.0E-5</v>
      </c>
      <c r="AN54" s="3">
        <v>0.0</v>
      </c>
      <c r="AQ54" s="3" t="s">
        <v>235</v>
      </c>
      <c r="AR54" s="3">
        <v>157.0</v>
      </c>
      <c r="AS54" s="3">
        <v>116.0</v>
      </c>
      <c r="AT54" s="3" t="s">
        <v>59</v>
      </c>
    </row>
    <row r="55" ht="15.75" customHeight="1">
      <c r="A55" s="4">
        <v>158.0</v>
      </c>
      <c r="C55" s="3" t="s">
        <v>214</v>
      </c>
      <c r="D55" s="2" t="b">
        <v>1</v>
      </c>
      <c r="E55" s="2" t="b">
        <v>1</v>
      </c>
      <c r="F55" s="3" t="s">
        <v>228</v>
      </c>
      <c r="G55" s="3" t="s">
        <v>50</v>
      </c>
      <c r="H55" s="1" t="s">
        <v>229</v>
      </c>
      <c r="I55" s="3" t="s">
        <v>230</v>
      </c>
      <c r="K55" s="3" t="s">
        <v>231</v>
      </c>
      <c r="L55" s="3" t="s">
        <v>50</v>
      </c>
      <c r="M55" s="8" t="s">
        <v>232</v>
      </c>
      <c r="N55" s="3" t="s">
        <v>233</v>
      </c>
      <c r="P55" s="3"/>
      <c r="Q55" s="3"/>
      <c r="R55" s="3">
        <v>11900.0</v>
      </c>
      <c r="S55" s="3">
        <v>9870.0</v>
      </c>
      <c r="T55" s="3" t="s">
        <v>167</v>
      </c>
      <c r="U55" s="3" t="s">
        <v>67</v>
      </c>
      <c r="V55" s="3" t="s">
        <v>168</v>
      </c>
      <c r="W55" s="3">
        <v>320.0</v>
      </c>
      <c r="Y55" s="3" t="s">
        <v>87</v>
      </c>
      <c r="Z55" s="3">
        <v>0.0</v>
      </c>
      <c r="AA55" s="3">
        <v>0.0</v>
      </c>
      <c r="AB55" s="3">
        <v>3.0</v>
      </c>
      <c r="AC55" s="3">
        <v>3.0</v>
      </c>
      <c r="AE55" s="3">
        <v>2.9E-4</v>
      </c>
      <c r="AG55" s="3">
        <v>4.0E-5</v>
      </c>
      <c r="AN55" s="3">
        <v>0.0</v>
      </c>
      <c r="AQ55" s="3" t="s">
        <v>235</v>
      </c>
      <c r="AR55" s="3">
        <v>158.0</v>
      </c>
      <c r="AS55" s="3">
        <v>116.0</v>
      </c>
      <c r="AT55" s="3" t="s">
        <v>59</v>
      </c>
    </row>
    <row r="56" ht="15.75" customHeight="1">
      <c r="A56" s="4">
        <v>160.0</v>
      </c>
      <c r="C56" s="3" t="s">
        <v>236</v>
      </c>
      <c r="D56" s="2"/>
      <c r="E56" s="2" t="b">
        <v>1</v>
      </c>
      <c r="F56" s="3" t="s">
        <v>76</v>
      </c>
      <c r="G56" s="3" t="s">
        <v>50</v>
      </c>
      <c r="H56" s="15" t="s">
        <v>77</v>
      </c>
      <c r="I56" s="3" t="s">
        <v>78</v>
      </c>
      <c r="K56" s="3" t="s">
        <v>237</v>
      </c>
      <c r="L56" s="3" t="s">
        <v>71</v>
      </c>
      <c r="M56" s="4"/>
      <c r="N56" s="3" t="s">
        <v>238</v>
      </c>
      <c r="U56" s="3" t="s">
        <v>67</v>
      </c>
      <c r="V56" s="3" t="s">
        <v>152</v>
      </c>
      <c r="Z56" s="3">
        <v>0.0</v>
      </c>
      <c r="AA56" s="3">
        <v>0.0</v>
      </c>
      <c r="AC56" s="3">
        <v>1.0</v>
      </c>
      <c r="AE56" s="3">
        <v>0.43</v>
      </c>
      <c r="AN56" s="3">
        <v>0.0</v>
      </c>
      <c r="AQ56" s="3" t="s">
        <v>239</v>
      </c>
      <c r="AR56" s="3">
        <v>160.0</v>
      </c>
    </row>
    <row r="57" ht="15.75" customHeight="1">
      <c r="A57" s="4">
        <v>161.0</v>
      </c>
      <c r="C57" s="3" t="s">
        <v>236</v>
      </c>
      <c r="D57" s="2"/>
      <c r="E57" s="2" t="b">
        <v>1</v>
      </c>
      <c r="F57" s="3" t="s">
        <v>76</v>
      </c>
      <c r="G57" s="3" t="s">
        <v>50</v>
      </c>
      <c r="H57" s="15" t="s">
        <v>77</v>
      </c>
      <c r="I57" s="3" t="s">
        <v>78</v>
      </c>
      <c r="K57" s="3" t="s">
        <v>240</v>
      </c>
      <c r="L57" s="3" t="s">
        <v>71</v>
      </c>
      <c r="M57" s="4"/>
      <c r="N57" s="3" t="s">
        <v>241</v>
      </c>
      <c r="U57" s="3" t="s">
        <v>67</v>
      </c>
      <c r="V57" s="3" t="s">
        <v>152</v>
      </c>
      <c r="Z57" s="3">
        <v>0.0</v>
      </c>
      <c r="AA57" s="3">
        <v>0.0</v>
      </c>
      <c r="AC57" s="3">
        <v>1.0</v>
      </c>
      <c r="AE57" s="3">
        <v>0.48</v>
      </c>
      <c r="AN57" s="3">
        <v>0.0</v>
      </c>
      <c r="AQ57" s="3" t="s">
        <v>239</v>
      </c>
      <c r="AR57" s="3">
        <v>161.0</v>
      </c>
    </row>
    <row r="58" ht="15.75" customHeight="1">
      <c r="A58" s="4">
        <v>162.0</v>
      </c>
      <c r="C58" s="3" t="s">
        <v>242</v>
      </c>
      <c r="D58" s="2"/>
      <c r="E58" s="2" t="b">
        <v>1</v>
      </c>
      <c r="F58" s="3" t="s">
        <v>76</v>
      </c>
      <c r="G58" s="3" t="s">
        <v>50</v>
      </c>
      <c r="H58" s="15" t="s">
        <v>77</v>
      </c>
      <c r="I58" s="3" t="s">
        <v>78</v>
      </c>
      <c r="K58" s="3" t="s">
        <v>74</v>
      </c>
      <c r="L58" s="3" t="s">
        <v>71</v>
      </c>
      <c r="M58" s="4"/>
      <c r="N58" s="3" t="s">
        <v>75</v>
      </c>
      <c r="P58" s="3"/>
      <c r="Q58" s="3"/>
      <c r="R58" s="3">
        <v>1020000.0</v>
      </c>
      <c r="T58" s="3" t="s">
        <v>243</v>
      </c>
      <c r="U58" s="3" t="s">
        <v>56</v>
      </c>
      <c r="V58" s="3" t="s">
        <v>244</v>
      </c>
      <c r="W58" s="3">
        <v>100.0</v>
      </c>
      <c r="Y58" s="3" t="s">
        <v>58</v>
      </c>
      <c r="Z58" s="3">
        <v>0.0</v>
      </c>
      <c r="AA58" s="3">
        <v>1.0</v>
      </c>
      <c r="AH58" s="3">
        <v>0.0</v>
      </c>
      <c r="AJ58" s="3">
        <v>117.35</v>
      </c>
      <c r="AN58" s="3">
        <v>0.0</v>
      </c>
      <c r="AR58" s="3">
        <v>162.0</v>
      </c>
    </row>
    <row r="59" ht="15.75" customHeight="1">
      <c r="A59" s="4">
        <v>166.0</v>
      </c>
      <c r="B59" s="3" t="s">
        <v>245</v>
      </c>
      <c r="C59" s="3" t="s">
        <v>246</v>
      </c>
      <c r="D59" s="11" t="b">
        <v>1</v>
      </c>
      <c r="E59" s="5" t="b">
        <v>0</v>
      </c>
      <c r="F59" s="3" t="s">
        <v>106</v>
      </c>
      <c r="G59" s="3" t="s">
        <v>50</v>
      </c>
      <c r="H59" s="6" t="s">
        <v>107</v>
      </c>
      <c r="I59" s="3" t="s">
        <v>108</v>
      </c>
      <c r="K59" s="3" t="s">
        <v>247</v>
      </c>
      <c r="L59" s="3" t="s">
        <v>50</v>
      </c>
      <c r="M59" s="6" t="s">
        <v>248</v>
      </c>
      <c r="N59" s="3" t="s">
        <v>249</v>
      </c>
      <c r="P59" s="2" t="s">
        <v>250</v>
      </c>
      <c r="Q59" s="16" t="s">
        <v>251</v>
      </c>
      <c r="U59" s="3" t="s">
        <v>67</v>
      </c>
      <c r="V59" s="3" t="s">
        <v>144</v>
      </c>
      <c r="Z59" s="3">
        <v>0.0</v>
      </c>
      <c r="AA59" s="3">
        <v>1.0</v>
      </c>
      <c r="AH59" s="3">
        <v>-0.00137</v>
      </c>
      <c r="AJ59" s="3">
        <v>2.091</v>
      </c>
      <c r="AN59" s="3">
        <v>1.0</v>
      </c>
      <c r="AP59" s="3" t="s">
        <v>245</v>
      </c>
      <c r="AR59" s="3">
        <v>166.0</v>
      </c>
      <c r="AS59" s="3">
        <v>1.0</v>
      </c>
      <c r="AT59" s="3" t="s">
        <v>252</v>
      </c>
    </row>
    <row r="60" ht="15.75" customHeight="1">
      <c r="A60" s="4">
        <v>171.0</v>
      </c>
      <c r="B60" s="3" t="s">
        <v>253</v>
      </c>
      <c r="C60" s="3" t="s">
        <v>254</v>
      </c>
      <c r="D60" s="2" t="b">
        <v>1</v>
      </c>
      <c r="E60" s="2" t="b">
        <v>1</v>
      </c>
      <c r="F60" s="3" t="s">
        <v>106</v>
      </c>
      <c r="G60" s="3" t="s">
        <v>50</v>
      </c>
      <c r="H60" s="6" t="s">
        <v>107</v>
      </c>
      <c r="I60" s="3" t="s">
        <v>108</v>
      </c>
      <c r="K60" s="3" t="s">
        <v>124</v>
      </c>
      <c r="L60" s="3" t="s">
        <v>50</v>
      </c>
      <c r="M60" s="8" t="s">
        <v>255</v>
      </c>
      <c r="N60" s="3" t="s">
        <v>126</v>
      </c>
      <c r="U60" s="3" t="s">
        <v>56</v>
      </c>
      <c r="V60" s="3" t="s">
        <v>118</v>
      </c>
      <c r="W60" s="3">
        <v>150.0</v>
      </c>
      <c r="X60" s="3">
        <v>310.0</v>
      </c>
      <c r="Y60" s="3" t="s">
        <v>178</v>
      </c>
      <c r="Z60" s="3">
        <v>0.0</v>
      </c>
      <c r="AA60" s="3">
        <v>1.0</v>
      </c>
      <c r="AH60" s="3">
        <v>-0.07</v>
      </c>
      <c r="AJ60" s="3">
        <v>63.0</v>
      </c>
      <c r="AN60" s="3">
        <v>1.0</v>
      </c>
      <c r="AP60" s="3" t="s">
        <v>253</v>
      </c>
      <c r="AR60" s="3">
        <v>171.0</v>
      </c>
    </row>
    <row r="61" ht="15.75" customHeight="1">
      <c r="A61" s="4">
        <v>177.0</v>
      </c>
      <c r="B61" s="3" t="s">
        <v>256</v>
      </c>
      <c r="C61" s="3" t="s">
        <v>257</v>
      </c>
      <c r="D61" s="17"/>
      <c r="E61" s="17"/>
      <c r="F61" s="3" t="s">
        <v>106</v>
      </c>
      <c r="G61" s="3" t="s">
        <v>50</v>
      </c>
      <c r="H61" s="6" t="s">
        <v>107</v>
      </c>
      <c r="I61" s="3" t="s">
        <v>108</v>
      </c>
      <c r="K61" s="3" t="s">
        <v>115</v>
      </c>
      <c r="L61" s="3" t="s">
        <v>50</v>
      </c>
      <c r="M61" s="8" t="s">
        <v>116</v>
      </c>
      <c r="N61" s="3" t="s">
        <v>117</v>
      </c>
      <c r="U61" s="3" t="s">
        <v>67</v>
      </c>
      <c r="V61" s="3" t="s">
        <v>177</v>
      </c>
      <c r="W61" s="3">
        <v>40.0</v>
      </c>
      <c r="Y61" s="3" t="s">
        <v>58</v>
      </c>
      <c r="Z61" s="3">
        <v>0.0</v>
      </c>
      <c r="AA61" s="3">
        <v>1.0</v>
      </c>
      <c r="AE61" s="3">
        <v>0.047</v>
      </c>
      <c r="AN61" s="3">
        <v>1.0</v>
      </c>
      <c r="AP61" s="3" t="s">
        <v>256</v>
      </c>
      <c r="AR61" s="3">
        <v>177.0</v>
      </c>
      <c r="AS61" s="3">
        <v>0.1</v>
      </c>
      <c r="AT61" s="3" t="s">
        <v>88</v>
      </c>
    </row>
    <row r="62" ht="15.75" customHeight="1">
      <c r="A62" s="4">
        <v>178.0</v>
      </c>
      <c r="B62" s="3" t="s">
        <v>256</v>
      </c>
      <c r="C62" s="3" t="s">
        <v>257</v>
      </c>
      <c r="D62" s="17"/>
      <c r="E62" s="17"/>
      <c r="F62" s="3" t="s">
        <v>106</v>
      </c>
      <c r="G62" s="3" t="s">
        <v>50</v>
      </c>
      <c r="H62" s="6" t="s">
        <v>107</v>
      </c>
      <c r="I62" s="3" t="s">
        <v>108</v>
      </c>
      <c r="K62" s="3" t="s">
        <v>258</v>
      </c>
      <c r="L62" s="3" t="s">
        <v>50</v>
      </c>
      <c r="M62" s="6" t="s">
        <v>259</v>
      </c>
      <c r="N62" s="3" t="s">
        <v>260</v>
      </c>
      <c r="U62" s="3" t="s">
        <v>67</v>
      </c>
      <c r="V62" s="3" t="s">
        <v>177</v>
      </c>
      <c r="W62" s="3">
        <v>40.0</v>
      </c>
      <c r="Y62" s="3" t="s">
        <v>58</v>
      </c>
      <c r="Z62" s="3">
        <v>0.0</v>
      </c>
      <c r="AA62" s="3">
        <v>1.0</v>
      </c>
      <c r="AE62" s="3">
        <v>0.226</v>
      </c>
      <c r="AN62" s="3">
        <v>1.0</v>
      </c>
      <c r="AP62" s="3" t="s">
        <v>256</v>
      </c>
      <c r="AR62" s="3">
        <v>178.0</v>
      </c>
      <c r="AS62" s="3">
        <v>0.1</v>
      </c>
      <c r="AT62" s="3" t="s">
        <v>88</v>
      </c>
    </row>
    <row r="63" ht="15.75" customHeight="1">
      <c r="A63" s="4">
        <v>183.0</v>
      </c>
      <c r="C63" s="3" t="s">
        <v>261</v>
      </c>
      <c r="D63" s="2" t="b">
        <v>1</v>
      </c>
      <c r="E63" s="2" t="b">
        <v>1</v>
      </c>
      <c r="F63" s="3" t="s">
        <v>188</v>
      </c>
      <c r="G63" s="3" t="s">
        <v>50</v>
      </c>
      <c r="H63" s="8" t="s">
        <v>189</v>
      </c>
      <c r="I63" s="3" t="s">
        <v>190</v>
      </c>
      <c r="K63" s="3" t="s">
        <v>198</v>
      </c>
      <c r="L63" s="3" t="s">
        <v>71</v>
      </c>
      <c r="M63" s="4"/>
      <c r="N63" s="3" t="s">
        <v>199</v>
      </c>
      <c r="P63" s="3"/>
      <c r="Q63" s="3"/>
      <c r="R63" s="3">
        <v>190.0</v>
      </c>
      <c r="T63" s="3" t="s">
        <v>122</v>
      </c>
      <c r="U63" s="3" t="s">
        <v>196</v>
      </c>
      <c r="V63" s="3" t="s">
        <v>168</v>
      </c>
      <c r="Z63" s="3">
        <v>0.0</v>
      </c>
      <c r="AA63" s="3">
        <v>1.0</v>
      </c>
      <c r="AB63" s="3">
        <v>8.0</v>
      </c>
      <c r="AD63" s="3">
        <v>14.0</v>
      </c>
      <c r="AN63" s="3">
        <v>0.0</v>
      </c>
      <c r="AQ63" s="3" t="s">
        <v>262</v>
      </c>
      <c r="AR63" s="3">
        <v>183.0</v>
      </c>
      <c r="AS63" s="3">
        <v>0.1</v>
      </c>
      <c r="AT63" s="3" t="s">
        <v>88</v>
      </c>
    </row>
    <row r="64" ht="15.75" customHeight="1">
      <c r="A64" s="4">
        <v>184.0</v>
      </c>
      <c r="C64" s="3" t="s">
        <v>261</v>
      </c>
      <c r="D64" s="2" t="b">
        <v>1</v>
      </c>
      <c r="E64" s="2" t="b">
        <v>1</v>
      </c>
      <c r="F64" s="3" t="s">
        <v>185</v>
      </c>
      <c r="G64" s="3" t="s">
        <v>50</v>
      </c>
      <c r="H64" s="6" t="s">
        <v>186</v>
      </c>
      <c r="I64" s="3" t="s">
        <v>187</v>
      </c>
      <c r="K64" s="3" t="s">
        <v>198</v>
      </c>
      <c r="L64" s="3" t="s">
        <v>71</v>
      </c>
      <c r="M64" s="4"/>
      <c r="N64" s="3" t="s">
        <v>199</v>
      </c>
      <c r="P64" s="3"/>
      <c r="Q64" s="3"/>
      <c r="R64" s="3">
        <v>87.0</v>
      </c>
      <c r="T64" s="3" t="s">
        <v>122</v>
      </c>
      <c r="U64" s="3" t="s">
        <v>196</v>
      </c>
      <c r="V64" s="3" t="s">
        <v>168</v>
      </c>
      <c r="Z64" s="3">
        <v>0.0</v>
      </c>
      <c r="AA64" s="3">
        <v>1.0</v>
      </c>
      <c r="AB64" s="3">
        <v>8.0</v>
      </c>
      <c r="AD64" s="3">
        <v>15.0</v>
      </c>
      <c r="AN64" s="3">
        <v>0.0</v>
      </c>
      <c r="AQ64" s="3" t="s">
        <v>263</v>
      </c>
      <c r="AR64" s="3">
        <v>184.0</v>
      </c>
      <c r="AS64" s="3">
        <v>0.1</v>
      </c>
      <c r="AT64" s="3" t="s">
        <v>88</v>
      </c>
    </row>
    <row r="65" ht="15.75" customHeight="1">
      <c r="A65" s="4">
        <v>188.0</v>
      </c>
      <c r="B65" s="3" t="s">
        <v>264</v>
      </c>
      <c r="C65" s="3" t="s">
        <v>261</v>
      </c>
      <c r="D65" s="2" t="b">
        <v>1</v>
      </c>
      <c r="E65" s="2" t="b">
        <v>1</v>
      </c>
      <c r="F65" s="3" t="s">
        <v>188</v>
      </c>
      <c r="G65" s="3" t="s">
        <v>50</v>
      </c>
      <c r="H65" s="8" t="s">
        <v>189</v>
      </c>
      <c r="I65" s="3" t="s">
        <v>190</v>
      </c>
      <c r="K65" s="3" t="s">
        <v>185</v>
      </c>
      <c r="L65" s="3" t="s">
        <v>50</v>
      </c>
      <c r="M65" s="6" t="s">
        <v>186</v>
      </c>
      <c r="N65" s="3" t="s">
        <v>187</v>
      </c>
      <c r="P65" s="3"/>
      <c r="Q65" s="3"/>
      <c r="R65" s="3">
        <v>125.0</v>
      </c>
      <c r="S65" s="3">
        <v>77.0</v>
      </c>
      <c r="T65" s="3" t="s">
        <v>122</v>
      </c>
      <c r="U65" s="3" t="s">
        <v>56</v>
      </c>
      <c r="V65" s="3" t="s">
        <v>168</v>
      </c>
      <c r="Z65" s="3">
        <v>0.0</v>
      </c>
      <c r="AA65" s="3">
        <v>0.0</v>
      </c>
      <c r="AD65" s="3">
        <v>12.0</v>
      </c>
      <c r="AH65" s="3">
        <v>0.092</v>
      </c>
      <c r="AJ65" s="3">
        <v>-39.6</v>
      </c>
      <c r="AN65" s="3">
        <v>1.0</v>
      </c>
      <c r="AP65" s="3" t="s">
        <v>264</v>
      </c>
      <c r="AR65" s="3">
        <v>188.0</v>
      </c>
      <c r="AS65" s="3">
        <v>0.1</v>
      </c>
      <c r="AT65" s="3" t="s">
        <v>88</v>
      </c>
    </row>
    <row r="66" ht="15.75" customHeight="1">
      <c r="A66" s="4">
        <v>189.0</v>
      </c>
      <c r="B66" s="3" t="s">
        <v>265</v>
      </c>
      <c r="C66" s="3" t="s">
        <v>266</v>
      </c>
      <c r="D66" s="5"/>
      <c r="E66" s="5" t="b">
        <v>0</v>
      </c>
      <c r="F66" s="3" t="s">
        <v>106</v>
      </c>
      <c r="G66" s="3" t="s">
        <v>50</v>
      </c>
      <c r="H66" s="6" t="s">
        <v>107</v>
      </c>
      <c r="I66" s="3" t="s">
        <v>108</v>
      </c>
      <c r="K66" s="3" t="s">
        <v>267</v>
      </c>
      <c r="L66" s="3" t="s">
        <v>50</v>
      </c>
      <c r="M66" s="8" t="s">
        <v>268</v>
      </c>
      <c r="N66" s="3" t="s">
        <v>269</v>
      </c>
      <c r="P66" s="7"/>
      <c r="U66" s="3" t="s">
        <v>67</v>
      </c>
      <c r="V66" s="3" t="s">
        <v>270</v>
      </c>
      <c r="W66" s="3">
        <v>25.0</v>
      </c>
      <c r="Y66" s="3" t="s">
        <v>58</v>
      </c>
      <c r="Z66" s="3">
        <v>0.0</v>
      </c>
      <c r="AA66" s="3">
        <v>0.0</v>
      </c>
      <c r="AE66" s="3">
        <v>5.89</v>
      </c>
      <c r="AN66" s="3">
        <v>1.0</v>
      </c>
      <c r="AP66" s="3" t="s">
        <v>265</v>
      </c>
      <c r="AQ66" s="3" t="s">
        <v>271</v>
      </c>
      <c r="AR66" s="3">
        <v>189.0</v>
      </c>
      <c r="AS66" s="3">
        <v>0.1</v>
      </c>
      <c r="AT66" s="3" t="s">
        <v>88</v>
      </c>
    </row>
    <row r="67" ht="15.75" customHeight="1">
      <c r="A67" s="4">
        <v>190.0</v>
      </c>
      <c r="C67" s="3" t="s">
        <v>272</v>
      </c>
      <c r="D67" s="5"/>
      <c r="E67" s="5" t="b">
        <v>0</v>
      </c>
      <c r="F67" s="3" t="s">
        <v>273</v>
      </c>
      <c r="G67" s="3" t="s">
        <v>50</v>
      </c>
      <c r="H67" s="6" t="s">
        <v>274</v>
      </c>
      <c r="I67" s="3" t="s">
        <v>275</v>
      </c>
      <c r="J67" s="14">
        <v>77.0</v>
      </c>
      <c r="K67" s="3" t="s">
        <v>276</v>
      </c>
      <c r="L67" s="3" t="s">
        <v>50</v>
      </c>
      <c r="M67" s="6" t="s">
        <v>277</v>
      </c>
      <c r="N67" s="3" t="s">
        <v>278</v>
      </c>
      <c r="O67" s="3">
        <v>62.0</v>
      </c>
      <c r="P67" s="14"/>
      <c r="Q67" s="3"/>
      <c r="R67" s="3">
        <v>10000.0</v>
      </c>
      <c r="S67" s="3">
        <v>11200.0</v>
      </c>
      <c r="T67" s="3" t="s">
        <v>167</v>
      </c>
      <c r="U67" s="3" t="s">
        <v>56</v>
      </c>
      <c r="V67" s="3" t="s">
        <v>144</v>
      </c>
      <c r="W67" s="3">
        <v>80.0</v>
      </c>
      <c r="X67" s="3">
        <v>240.0</v>
      </c>
      <c r="Y67" s="3" t="s">
        <v>58</v>
      </c>
      <c r="Z67" s="3">
        <v>1.0</v>
      </c>
      <c r="AA67" s="3">
        <v>0.0</v>
      </c>
      <c r="AH67" s="3">
        <v>0.036</v>
      </c>
      <c r="AJ67" s="3">
        <v>-0.56</v>
      </c>
      <c r="AN67" s="3">
        <v>0.0</v>
      </c>
      <c r="AR67" s="3">
        <v>190.0</v>
      </c>
    </row>
    <row r="68" ht="15.75" customHeight="1">
      <c r="A68" s="4">
        <v>191.0</v>
      </c>
      <c r="B68" s="3" t="s">
        <v>265</v>
      </c>
      <c r="C68" s="3" t="s">
        <v>266</v>
      </c>
      <c r="D68" s="5"/>
      <c r="E68" s="5" t="b">
        <v>0</v>
      </c>
      <c r="F68" s="3" t="s">
        <v>267</v>
      </c>
      <c r="G68" s="3" t="s">
        <v>50</v>
      </c>
      <c r="H68" s="8" t="s">
        <v>268</v>
      </c>
      <c r="I68" s="3" t="s">
        <v>269</v>
      </c>
      <c r="K68" s="3" t="s">
        <v>164</v>
      </c>
      <c r="L68" s="3" t="s">
        <v>50</v>
      </c>
      <c r="M68" s="6" t="s">
        <v>165</v>
      </c>
      <c r="N68" s="3" t="s">
        <v>166</v>
      </c>
      <c r="P68" s="7"/>
      <c r="U68" s="3" t="s">
        <v>67</v>
      </c>
      <c r="V68" s="3" t="s">
        <v>144</v>
      </c>
      <c r="W68" s="3">
        <v>54.0</v>
      </c>
      <c r="Y68" s="3" t="s">
        <v>58</v>
      </c>
      <c r="Z68" s="3">
        <v>0.0</v>
      </c>
      <c r="AA68" s="3">
        <v>0.0</v>
      </c>
      <c r="AE68" s="3">
        <v>0.194</v>
      </c>
      <c r="AF68" s="3">
        <v>0.395</v>
      </c>
      <c r="AN68" s="3">
        <v>1.0</v>
      </c>
      <c r="AP68" s="3" t="s">
        <v>265</v>
      </c>
      <c r="AQ68" s="3" t="s">
        <v>279</v>
      </c>
      <c r="AR68" s="3">
        <v>191.0</v>
      </c>
      <c r="AS68" s="3">
        <v>0.1</v>
      </c>
      <c r="AT68" s="3" t="s">
        <v>88</v>
      </c>
    </row>
    <row r="69" ht="15.75" customHeight="1">
      <c r="A69" s="4">
        <v>192.0</v>
      </c>
      <c r="C69" s="3" t="s">
        <v>280</v>
      </c>
      <c r="D69" s="5"/>
      <c r="E69" s="5" t="b">
        <v>0</v>
      </c>
      <c r="F69" s="3" t="s">
        <v>49</v>
      </c>
      <c r="G69" s="3" t="s">
        <v>50</v>
      </c>
      <c r="H69" s="6" t="s">
        <v>51</v>
      </c>
      <c r="I69" s="3" t="s">
        <v>52</v>
      </c>
      <c r="K69" s="3" t="s">
        <v>115</v>
      </c>
      <c r="L69" s="3" t="s">
        <v>50</v>
      </c>
      <c r="M69" s="8" t="s">
        <v>116</v>
      </c>
      <c r="N69" s="18" t="s">
        <v>117</v>
      </c>
      <c r="P69" s="14"/>
      <c r="Q69" s="3"/>
      <c r="R69" s="3">
        <v>2.2</v>
      </c>
      <c r="S69" s="3">
        <v>1.8</v>
      </c>
      <c r="T69" s="3" t="s">
        <v>122</v>
      </c>
      <c r="U69" s="3" t="s">
        <v>67</v>
      </c>
      <c r="V69" s="3" t="s">
        <v>144</v>
      </c>
      <c r="W69" s="3">
        <v>155.0</v>
      </c>
      <c r="Y69" s="3" t="s">
        <v>58</v>
      </c>
      <c r="Z69" s="3">
        <v>1.0</v>
      </c>
      <c r="AA69" s="3">
        <v>0.0</v>
      </c>
      <c r="AE69" s="3">
        <v>0.192</v>
      </c>
      <c r="AN69" s="3">
        <v>0.0</v>
      </c>
      <c r="AR69" s="3">
        <v>192.0</v>
      </c>
      <c r="AS69" s="3">
        <v>118.0</v>
      </c>
      <c r="AT69" s="3" t="s">
        <v>59</v>
      </c>
    </row>
    <row r="70" ht="15.75" customHeight="1">
      <c r="A70" s="4">
        <v>194.0</v>
      </c>
      <c r="C70" s="3" t="s">
        <v>281</v>
      </c>
      <c r="D70" s="5"/>
      <c r="E70" s="5" t="b">
        <v>0</v>
      </c>
      <c r="F70" s="3" t="s">
        <v>282</v>
      </c>
      <c r="G70" s="3" t="s">
        <v>71</v>
      </c>
      <c r="H70" s="4"/>
      <c r="I70" s="3" t="s">
        <v>283</v>
      </c>
      <c r="K70" s="3" t="s">
        <v>124</v>
      </c>
      <c r="L70" s="3" t="s">
        <v>50</v>
      </c>
      <c r="M70" s="8" t="s">
        <v>255</v>
      </c>
      <c r="N70" s="3" t="s">
        <v>126</v>
      </c>
      <c r="P70" s="7"/>
      <c r="U70" s="3" t="s">
        <v>56</v>
      </c>
      <c r="V70" s="3" t="s">
        <v>213</v>
      </c>
      <c r="Z70" s="3">
        <v>0.0</v>
      </c>
      <c r="AA70" s="3">
        <v>0.0</v>
      </c>
      <c r="AD70" s="3">
        <v>3.0</v>
      </c>
      <c r="AH70" s="3">
        <v>-1.3</v>
      </c>
      <c r="AJ70" s="3">
        <v>938.0</v>
      </c>
      <c r="AN70" s="3">
        <v>0.0</v>
      </c>
      <c r="AR70" s="3">
        <v>194.0</v>
      </c>
    </row>
    <row r="71" ht="15.75" customHeight="1">
      <c r="A71" s="4">
        <v>195.0</v>
      </c>
      <c r="C71" s="3" t="s">
        <v>281</v>
      </c>
      <c r="D71" s="5"/>
      <c r="E71" s="5" t="b">
        <v>0</v>
      </c>
      <c r="F71" s="3" t="s">
        <v>284</v>
      </c>
      <c r="G71" s="3" t="s">
        <v>71</v>
      </c>
      <c r="H71" s="4"/>
      <c r="I71" s="3" t="s">
        <v>285</v>
      </c>
      <c r="K71" s="3" t="s">
        <v>124</v>
      </c>
      <c r="L71" s="3" t="s">
        <v>50</v>
      </c>
      <c r="M71" s="8" t="s">
        <v>255</v>
      </c>
      <c r="N71" s="3" t="s">
        <v>126</v>
      </c>
      <c r="P71" s="7"/>
      <c r="U71" s="3" t="s">
        <v>56</v>
      </c>
      <c r="V71" s="3" t="s">
        <v>213</v>
      </c>
      <c r="Z71" s="3">
        <v>0.0</v>
      </c>
      <c r="AA71" s="3">
        <v>0.0</v>
      </c>
      <c r="AD71" s="3">
        <v>3.0</v>
      </c>
      <c r="AH71" s="3">
        <v>-0.56</v>
      </c>
      <c r="AJ71" s="3">
        <v>468.0</v>
      </c>
      <c r="AN71" s="3">
        <v>0.0</v>
      </c>
      <c r="AR71" s="3">
        <v>195.0</v>
      </c>
    </row>
    <row r="72" ht="15.75" customHeight="1">
      <c r="A72" s="4">
        <v>199.0</v>
      </c>
      <c r="C72" s="3" t="s">
        <v>286</v>
      </c>
      <c r="D72" s="5"/>
      <c r="E72" s="5" t="b">
        <v>0</v>
      </c>
      <c r="F72" s="3" t="s">
        <v>106</v>
      </c>
      <c r="G72" s="3" t="s">
        <v>50</v>
      </c>
      <c r="H72" s="6" t="s">
        <v>107</v>
      </c>
      <c r="I72" s="3" t="s">
        <v>108</v>
      </c>
      <c r="K72" s="3" t="s">
        <v>287</v>
      </c>
      <c r="L72" s="3" t="s">
        <v>50</v>
      </c>
      <c r="M72" s="6" t="s">
        <v>288</v>
      </c>
      <c r="N72" s="3" t="s">
        <v>289</v>
      </c>
      <c r="P72" s="7"/>
      <c r="U72" s="3" t="s">
        <v>56</v>
      </c>
      <c r="V72" s="3" t="s">
        <v>144</v>
      </c>
      <c r="Z72" s="3">
        <v>0.0</v>
      </c>
      <c r="AA72" s="3">
        <v>1.0</v>
      </c>
      <c r="AH72" s="3">
        <v>-0.1322</v>
      </c>
      <c r="AJ72" s="3">
        <v>0.0761</v>
      </c>
      <c r="AN72" s="3">
        <v>0.0</v>
      </c>
      <c r="AR72" s="3">
        <v>199.0</v>
      </c>
    </row>
    <row r="73" ht="15.75" customHeight="1">
      <c r="A73" s="4">
        <v>210.0</v>
      </c>
      <c r="B73" s="3" t="s">
        <v>290</v>
      </c>
      <c r="C73" s="3" t="s">
        <v>291</v>
      </c>
      <c r="D73" s="5"/>
      <c r="E73" s="5" t="b">
        <v>0</v>
      </c>
      <c r="F73" s="3" t="s">
        <v>106</v>
      </c>
      <c r="G73" s="3" t="s">
        <v>50</v>
      </c>
      <c r="H73" s="6" t="s">
        <v>107</v>
      </c>
      <c r="I73" s="3" t="s">
        <v>108</v>
      </c>
      <c r="K73" s="3" t="s">
        <v>135</v>
      </c>
      <c r="L73" s="3" t="s">
        <v>50</v>
      </c>
      <c r="M73" s="8" t="s">
        <v>62</v>
      </c>
      <c r="N73" s="3" t="s">
        <v>136</v>
      </c>
      <c r="P73" s="7"/>
      <c r="U73" s="3" t="s">
        <v>56</v>
      </c>
      <c r="V73" s="3" t="s">
        <v>144</v>
      </c>
      <c r="Z73" s="3">
        <v>0.0</v>
      </c>
      <c r="AA73" s="3">
        <v>1.0</v>
      </c>
      <c r="AH73" s="3">
        <v>0.0425</v>
      </c>
      <c r="AJ73" s="3">
        <v>4.046</v>
      </c>
      <c r="AN73" s="3">
        <v>1.0</v>
      </c>
      <c r="AP73" s="3" t="s">
        <v>290</v>
      </c>
      <c r="AR73" s="3">
        <v>210.0</v>
      </c>
    </row>
    <row r="74" ht="15.75" customHeight="1">
      <c r="A74" s="4">
        <v>211.0</v>
      </c>
      <c r="C74" s="3" t="s">
        <v>292</v>
      </c>
      <c r="D74" s="2" t="b">
        <v>1</v>
      </c>
      <c r="E74" s="2" t="b">
        <v>1</v>
      </c>
      <c r="F74" s="3" t="s">
        <v>293</v>
      </c>
      <c r="G74" s="3" t="s">
        <v>50</v>
      </c>
      <c r="H74" s="6" t="s">
        <v>294</v>
      </c>
      <c r="I74" s="3" t="s">
        <v>295</v>
      </c>
      <c r="K74" s="3" t="s">
        <v>74</v>
      </c>
      <c r="L74" s="3" t="s">
        <v>71</v>
      </c>
      <c r="M74" s="4"/>
      <c r="N74" s="3" t="s">
        <v>75</v>
      </c>
      <c r="U74" s="3" t="s">
        <v>67</v>
      </c>
      <c r="V74" s="3" t="s">
        <v>152</v>
      </c>
      <c r="Z74" s="3">
        <v>0.0</v>
      </c>
      <c r="AA74" s="3">
        <v>1.0</v>
      </c>
      <c r="AE74" s="3">
        <v>-0.0513</v>
      </c>
      <c r="AN74" s="3">
        <v>0.0</v>
      </c>
      <c r="AR74" s="3">
        <v>211.0</v>
      </c>
    </row>
    <row r="75" ht="15.75" customHeight="1">
      <c r="A75" s="4">
        <v>212.0</v>
      </c>
      <c r="C75" s="3" t="s">
        <v>292</v>
      </c>
      <c r="D75" s="2" t="b">
        <v>1</v>
      </c>
      <c r="E75" s="2" t="b">
        <v>1</v>
      </c>
      <c r="F75" s="3" t="s">
        <v>146</v>
      </c>
      <c r="G75" s="3" t="s">
        <v>50</v>
      </c>
      <c r="H75" s="6" t="s">
        <v>147</v>
      </c>
      <c r="I75" s="3" t="s">
        <v>148</v>
      </c>
      <c r="K75" s="3" t="s">
        <v>74</v>
      </c>
      <c r="L75" s="3" t="s">
        <v>71</v>
      </c>
      <c r="M75" s="4"/>
      <c r="N75" s="3" t="s">
        <v>75</v>
      </c>
      <c r="U75" s="3" t="s">
        <v>67</v>
      </c>
      <c r="V75" s="3" t="s">
        <v>152</v>
      </c>
      <c r="Z75" s="3">
        <v>0.0</v>
      </c>
      <c r="AA75" s="3">
        <v>1.0</v>
      </c>
      <c r="AE75" s="3">
        <v>0.729</v>
      </c>
      <c r="AN75" s="3">
        <v>0.0</v>
      </c>
      <c r="AR75" s="3">
        <v>212.0</v>
      </c>
    </row>
    <row r="76" ht="15.75" customHeight="1">
      <c r="A76" s="4">
        <v>214.0</v>
      </c>
      <c r="C76" s="3" t="s">
        <v>296</v>
      </c>
      <c r="D76" s="5"/>
      <c r="E76" s="5" t="b">
        <v>0</v>
      </c>
      <c r="F76" s="3" t="s">
        <v>297</v>
      </c>
      <c r="G76" s="3" t="s">
        <v>50</v>
      </c>
      <c r="H76" s="6" t="s">
        <v>298</v>
      </c>
      <c r="I76" s="3" t="s">
        <v>299</v>
      </c>
      <c r="K76" s="3" t="s">
        <v>300</v>
      </c>
      <c r="L76" s="3" t="s">
        <v>50</v>
      </c>
      <c r="M76" s="8" t="s">
        <v>301</v>
      </c>
      <c r="N76" s="3" t="s">
        <v>302</v>
      </c>
      <c r="P76" s="7"/>
      <c r="U76" s="3" t="s">
        <v>56</v>
      </c>
      <c r="V76" s="3" t="s">
        <v>144</v>
      </c>
      <c r="W76" s="3">
        <v>140.0</v>
      </c>
      <c r="Y76" s="3" t="s">
        <v>58</v>
      </c>
      <c r="Z76" s="3">
        <v>0.0</v>
      </c>
      <c r="AA76" s="3">
        <v>1.0</v>
      </c>
      <c r="AD76" s="3">
        <v>3.0</v>
      </c>
      <c r="AH76" s="3">
        <v>-0.26</v>
      </c>
      <c r="AJ76" s="3">
        <v>221.0</v>
      </c>
      <c r="AN76" s="3">
        <v>0.0</v>
      </c>
      <c r="AR76" s="3">
        <v>214.0</v>
      </c>
      <c r="AS76" s="3">
        <v>118.0</v>
      </c>
      <c r="AT76" s="3" t="s">
        <v>303</v>
      </c>
    </row>
    <row r="77" ht="15.75" customHeight="1">
      <c r="A77" s="4">
        <v>219.0</v>
      </c>
      <c r="C77" s="3" t="s">
        <v>304</v>
      </c>
      <c r="D77" s="5"/>
      <c r="E77" s="5" t="b">
        <v>0</v>
      </c>
      <c r="F77" s="3" t="s">
        <v>95</v>
      </c>
      <c r="G77" s="3" t="s">
        <v>50</v>
      </c>
      <c r="H77" s="6" t="s">
        <v>96</v>
      </c>
      <c r="I77" s="3" t="s">
        <v>97</v>
      </c>
      <c r="J77" s="3">
        <v>0.51</v>
      </c>
      <c r="K77" s="3" t="s">
        <v>135</v>
      </c>
      <c r="L77" s="3" t="s">
        <v>50</v>
      </c>
      <c r="M77" s="8" t="s">
        <v>62</v>
      </c>
      <c r="N77" s="3" t="s">
        <v>136</v>
      </c>
      <c r="O77" s="3">
        <v>0.49</v>
      </c>
      <c r="P77" s="19"/>
      <c r="Q77" s="20"/>
      <c r="R77" s="20">
        <f>21*(81.12+85.17)</f>
        <v>3492.09</v>
      </c>
      <c r="S77" s="20">
        <f>35*100.12</f>
        <v>3504.2</v>
      </c>
      <c r="T77" s="3" t="s">
        <v>167</v>
      </c>
      <c r="U77" s="3" t="s">
        <v>56</v>
      </c>
      <c r="V77" s="3" t="s">
        <v>144</v>
      </c>
      <c r="W77" s="3">
        <v>223.0</v>
      </c>
      <c r="X77" s="3">
        <v>230.0</v>
      </c>
      <c r="Y77" s="3" t="s">
        <v>58</v>
      </c>
      <c r="Z77" s="3">
        <v>0.0</v>
      </c>
      <c r="AA77" s="3">
        <v>0.0</v>
      </c>
      <c r="AC77" s="3">
        <v>2.0</v>
      </c>
      <c r="AH77" s="3">
        <v>0.0433</v>
      </c>
      <c r="AJ77" s="3">
        <v>56.37</v>
      </c>
      <c r="AN77" s="3">
        <v>0.0</v>
      </c>
      <c r="AR77" s="3">
        <v>219.0</v>
      </c>
    </row>
    <row r="78" ht="15.75" customHeight="1">
      <c r="A78" s="4">
        <v>220.0</v>
      </c>
      <c r="C78" s="3" t="s">
        <v>304</v>
      </c>
      <c r="D78" s="5"/>
      <c r="E78" s="5" t="b">
        <v>0</v>
      </c>
      <c r="F78" s="3" t="s">
        <v>101</v>
      </c>
      <c r="G78" s="3" t="s">
        <v>50</v>
      </c>
      <c r="H78" s="6" t="s">
        <v>102</v>
      </c>
      <c r="I78" s="3" t="s">
        <v>103</v>
      </c>
      <c r="J78" s="3">
        <v>0.47</v>
      </c>
      <c r="K78" s="3" t="s">
        <v>135</v>
      </c>
      <c r="L78" s="3" t="s">
        <v>50</v>
      </c>
      <c r="M78" s="8" t="s">
        <v>62</v>
      </c>
      <c r="N78" s="3" t="s">
        <v>136</v>
      </c>
      <c r="O78" s="3">
        <v>0.53</v>
      </c>
      <c r="P78" s="19"/>
      <c r="Q78" s="20"/>
      <c r="R78" s="20">
        <f>16*(81.12+169.33)</f>
        <v>4007.2</v>
      </c>
      <c r="S78" s="20">
        <f t="shared" ref="S78:S79" si="1">47*100.12</f>
        <v>4705.64</v>
      </c>
      <c r="T78" s="3" t="s">
        <v>167</v>
      </c>
      <c r="U78" s="3" t="s">
        <v>56</v>
      </c>
      <c r="V78" s="3" t="s">
        <v>144</v>
      </c>
      <c r="W78" s="3">
        <v>240.0</v>
      </c>
      <c r="X78" s="3">
        <v>250.0</v>
      </c>
      <c r="Y78" s="3" t="s">
        <v>58</v>
      </c>
      <c r="Z78" s="3">
        <v>0.0</v>
      </c>
      <c r="AA78" s="3">
        <v>0.0</v>
      </c>
      <c r="AC78" s="3">
        <v>2.0</v>
      </c>
      <c r="AH78" s="3">
        <v>0.0828</v>
      </c>
      <c r="AJ78" s="3">
        <v>38.582</v>
      </c>
      <c r="AN78" s="3">
        <v>0.0</v>
      </c>
      <c r="AR78" s="3">
        <v>220.0</v>
      </c>
    </row>
    <row r="79" ht="15.75" customHeight="1">
      <c r="A79" s="4">
        <v>221.0</v>
      </c>
      <c r="C79" s="3" t="s">
        <v>304</v>
      </c>
      <c r="D79" s="5"/>
      <c r="E79" s="5" t="b">
        <v>0</v>
      </c>
      <c r="F79" s="3" t="s">
        <v>305</v>
      </c>
      <c r="G79" s="3" t="s">
        <v>50</v>
      </c>
      <c r="H79" s="6" t="s">
        <v>306</v>
      </c>
      <c r="I79" s="3" t="s">
        <v>307</v>
      </c>
      <c r="J79" s="3">
        <v>0.48</v>
      </c>
      <c r="K79" s="3" t="s">
        <v>135</v>
      </c>
      <c r="L79" s="3" t="s">
        <v>50</v>
      </c>
      <c r="M79" s="8" t="s">
        <v>62</v>
      </c>
      <c r="N79" s="3" t="s">
        <v>136</v>
      </c>
      <c r="O79" s="3">
        <v>0.52</v>
      </c>
      <c r="P79" s="19"/>
      <c r="Q79" s="20"/>
      <c r="R79" s="20">
        <f>19*(81.12+113.22)</f>
        <v>3692.46</v>
      </c>
      <c r="S79" s="20">
        <f t="shared" si="1"/>
        <v>4705.64</v>
      </c>
      <c r="T79" s="3" t="s">
        <v>167</v>
      </c>
      <c r="U79" s="3" t="s">
        <v>56</v>
      </c>
      <c r="V79" s="3" t="s">
        <v>144</v>
      </c>
      <c r="W79" s="3">
        <v>110.0</v>
      </c>
      <c r="X79" s="3">
        <v>150.0</v>
      </c>
      <c r="Y79" s="3" t="s">
        <v>58</v>
      </c>
      <c r="Z79" s="3">
        <v>0.0</v>
      </c>
      <c r="AA79" s="3">
        <v>0.0</v>
      </c>
      <c r="AC79" s="3">
        <v>2.0</v>
      </c>
      <c r="AH79" s="3">
        <v>0.0932</v>
      </c>
      <c r="AJ79" s="3">
        <v>25.482</v>
      </c>
      <c r="AN79" s="3">
        <v>0.0</v>
      </c>
      <c r="AR79" s="3">
        <v>221.0</v>
      </c>
    </row>
    <row r="80" ht="15.75" customHeight="1">
      <c r="A80" s="4">
        <v>225.0</v>
      </c>
      <c r="C80" s="3" t="s">
        <v>308</v>
      </c>
      <c r="D80" s="2" t="b">
        <v>1</v>
      </c>
      <c r="E80" s="2" t="b">
        <v>1</v>
      </c>
      <c r="F80" s="3" t="s">
        <v>309</v>
      </c>
      <c r="G80" s="3" t="s">
        <v>50</v>
      </c>
      <c r="H80" s="6" t="s">
        <v>310</v>
      </c>
      <c r="I80" s="3" t="s">
        <v>311</v>
      </c>
      <c r="K80" s="3" t="s">
        <v>106</v>
      </c>
      <c r="L80" s="3" t="s">
        <v>50</v>
      </c>
      <c r="M80" s="6" t="s">
        <v>107</v>
      </c>
      <c r="N80" s="3" t="s">
        <v>108</v>
      </c>
      <c r="U80" s="3" t="s">
        <v>67</v>
      </c>
      <c r="V80" s="3" t="s">
        <v>68</v>
      </c>
      <c r="W80" s="3">
        <v>25.0</v>
      </c>
      <c r="Y80" s="3" t="s">
        <v>58</v>
      </c>
      <c r="Z80" s="3">
        <v>0.0</v>
      </c>
      <c r="AA80" s="3">
        <v>1.0</v>
      </c>
      <c r="AE80" s="3">
        <v>0.033</v>
      </c>
      <c r="AN80" s="3">
        <v>0.0</v>
      </c>
      <c r="AR80" s="3">
        <v>225.0</v>
      </c>
    </row>
    <row r="81" ht="15.75" customHeight="1">
      <c r="A81" s="4">
        <v>226.0</v>
      </c>
      <c r="C81" s="3" t="s">
        <v>308</v>
      </c>
      <c r="D81" s="2" t="b">
        <v>1</v>
      </c>
      <c r="E81" s="2" t="b">
        <v>1</v>
      </c>
      <c r="F81" s="3" t="s">
        <v>297</v>
      </c>
      <c r="G81" s="3" t="s">
        <v>50</v>
      </c>
      <c r="H81" s="6" t="s">
        <v>298</v>
      </c>
      <c r="I81" s="3" t="s">
        <v>299</v>
      </c>
      <c r="K81" s="3" t="s">
        <v>309</v>
      </c>
      <c r="L81" s="3" t="s">
        <v>50</v>
      </c>
      <c r="M81" s="6" t="s">
        <v>310</v>
      </c>
      <c r="N81" s="3" t="s">
        <v>311</v>
      </c>
      <c r="U81" s="3" t="s">
        <v>67</v>
      </c>
      <c r="V81" s="3" t="s">
        <v>68</v>
      </c>
      <c r="W81" s="3">
        <v>25.0</v>
      </c>
      <c r="Y81" s="3" t="s">
        <v>58</v>
      </c>
      <c r="Z81" s="3">
        <v>0.0</v>
      </c>
      <c r="AA81" s="3">
        <v>1.0</v>
      </c>
      <c r="AE81" s="3">
        <v>0.287</v>
      </c>
      <c r="AN81" s="3">
        <v>0.0</v>
      </c>
      <c r="AR81" s="3">
        <v>226.0</v>
      </c>
    </row>
    <row r="82" ht="15.75" customHeight="1">
      <c r="A82" s="4">
        <v>227.0</v>
      </c>
      <c r="C82" s="3" t="s">
        <v>308</v>
      </c>
      <c r="D82" s="2" t="b">
        <v>1</v>
      </c>
      <c r="E82" s="2" t="b">
        <v>1</v>
      </c>
      <c r="F82" s="3" t="s">
        <v>297</v>
      </c>
      <c r="G82" s="3" t="s">
        <v>50</v>
      </c>
      <c r="H82" s="6" t="s">
        <v>298</v>
      </c>
      <c r="I82" s="3" t="s">
        <v>299</v>
      </c>
      <c r="K82" s="3" t="s">
        <v>106</v>
      </c>
      <c r="L82" s="3" t="s">
        <v>50</v>
      </c>
      <c r="M82" s="6" t="s">
        <v>107</v>
      </c>
      <c r="N82" s="3" t="s">
        <v>108</v>
      </c>
      <c r="U82" s="3" t="s">
        <v>67</v>
      </c>
      <c r="V82" s="3" t="s">
        <v>68</v>
      </c>
      <c r="W82" s="3">
        <v>25.0</v>
      </c>
      <c r="Y82" s="3" t="s">
        <v>58</v>
      </c>
      <c r="Z82" s="3">
        <v>0.0</v>
      </c>
      <c r="AA82" s="3">
        <v>1.0</v>
      </c>
      <c r="AE82" s="3">
        <v>0.096</v>
      </c>
      <c r="AN82" s="3">
        <v>0.0</v>
      </c>
      <c r="AR82" s="3">
        <v>227.0</v>
      </c>
    </row>
    <row r="83" ht="15.75" customHeight="1">
      <c r="A83" s="4">
        <v>228.0</v>
      </c>
      <c r="B83" s="3" t="s">
        <v>312</v>
      </c>
      <c r="C83" s="3" t="s">
        <v>313</v>
      </c>
      <c r="D83" s="2" t="b">
        <v>1</v>
      </c>
      <c r="E83" s="2" t="b">
        <v>1</v>
      </c>
      <c r="F83" s="3" t="s">
        <v>314</v>
      </c>
      <c r="G83" s="3" t="s">
        <v>50</v>
      </c>
      <c r="H83" s="6" t="s">
        <v>315</v>
      </c>
      <c r="I83" s="3" t="s">
        <v>316</v>
      </c>
      <c r="K83" s="3" t="s">
        <v>135</v>
      </c>
      <c r="L83" s="3" t="s">
        <v>50</v>
      </c>
      <c r="M83" s="8" t="s">
        <v>62</v>
      </c>
      <c r="N83" s="3" t="s">
        <v>136</v>
      </c>
      <c r="T83" s="3" t="s">
        <v>122</v>
      </c>
      <c r="U83" s="3" t="s">
        <v>67</v>
      </c>
      <c r="V83" s="3" t="s">
        <v>113</v>
      </c>
      <c r="W83" s="3">
        <v>160.0</v>
      </c>
      <c r="Y83" s="3" t="s">
        <v>58</v>
      </c>
      <c r="Z83" s="3">
        <v>0.0</v>
      </c>
      <c r="AA83" s="3">
        <v>1.0</v>
      </c>
      <c r="AC83" s="3">
        <v>2.0</v>
      </c>
      <c r="AE83" s="3">
        <v>-0.295</v>
      </c>
      <c r="AN83" s="3">
        <v>1.0</v>
      </c>
      <c r="AP83" s="3" t="s">
        <v>312</v>
      </c>
      <c r="AR83" s="3">
        <v>228.0</v>
      </c>
    </row>
    <row r="84" ht="15.75" customHeight="1">
      <c r="A84" s="4">
        <v>229.0</v>
      </c>
      <c r="B84" s="21" t="s">
        <v>317</v>
      </c>
      <c r="C84" s="3" t="s">
        <v>318</v>
      </c>
      <c r="D84" s="3"/>
      <c r="E84" s="3"/>
      <c r="F84" s="3" t="s">
        <v>319</v>
      </c>
      <c r="G84" s="3" t="s">
        <v>50</v>
      </c>
      <c r="H84" s="4"/>
      <c r="I84" s="3" t="s">
        <v>320</v>
      </c>
      <c r="K84" s="3" t="s">
        <v>321</v>
      </c>
      <c r="L84" s="3" t="s">
        <v>71</v>
      </c>
      <c r="M84" s="4"/>
      <c r="U84" s="3" t="s">
        <v>196</v>
      </c>
      <c r="V84" s="3" t="s">
        <v>177</v>
      </c>
      <c r="W84" s="3">
        <v>298.0</v>
      </c>
      <c r="Y84" s="3" t="s">
        <v>87</v>
      </c>
      <c r="Z84" s="3">
        <v>0.0</v>
      </c>
      <c r="AA84" s="3">
        <v>0.0</v>
      </c>
      <c r="AD84" s="3">
        <v>4.0</v>
      </c>
      <c r="AN84" s="3">
        <v>1.0</v>
      </c>
      <c r="AP84" s="21" t="s">
        <v>317</v>
      </c>
      <c r="AQ84" s="3" t="s">
        <v>322</v>
      </c>
      <c r="AR84" s="3">
        <v>229.0</v>
      </c>
    </row>
    <row r="85" ht="15.75" customHeight="1">
      <c r="A85" s="4">
        <v>232.0</v>
      </c>
      <c r="B85" s="3" t="s">
        <v>323</v>
      </c>
      <c r="C85" s="3" t="s">
        <v>324</v>
      </c>
      <c r="D85" s="3"/>
      <c r="E85" s="3"/>
      <c r="F85" s="3" t="s">
        <v>106</v>
      </c>
      <c r="G85" s="3" t="s">
        <v>50</v>
      </c>
      <c r="H85" s="6" t="s">
        <v>107</v>
      </c>
      <c r="I85" s="3" t="s">
        <v>108</v>
      </c>
      <c r="J85" s="3">
        <v>0.55</v>
      </c>
      <c r="K85" s="3" t="s">
        <v>325</v>
      </c>
      <c r="L85" s="3" t="s">
        <v>50</v>
      </c>
      <c r="M85" s="6" t="s">
        <v>326</v>
      </c>
      <c r="N85" s="3" t="s">
        <v>327</v>
      </c>
      <c r="O85" s="3">
        <v>0.45</v>
      </c>
      <c r="U85" s="3" t="s">
        <v>56</v>
      </c>
      <c r="V85" s="3" t="s">
        <v>328</v>
      </c>
      <c r="Z85" s="3">
        <v>0.0</v>
      </c>
      <c r="AA85" s="3">
        <v>1.0</v>
      </c>
      <c r="AH85" s="3">
        <v>0.112</v>
      </c>
      <c r="AJ85" s="3">
        <v>-62.0</v>
      </c>
      <c r="AN85" s="3">
        <v>1.0</v>
      </c>
      <c r="AP85" s="3" t="s">
        <v>323</v>
      </c>
      <c r="AR85" s="3">
        <v>232.0</v>
      </c>
    </row>
    <row r="86" ht="15.75" customHeight="1">
      <c r="A86" s="4">
        <v>233.0</v>
      </c>
      <c r="B86" s="3" t="s">
        <v>329</v>
      </c>
      <c r="C86" s="3" t="s">
        <v>330</v>
      </c>
      <c r="D86" s="3"/>
      <c r="E86" s="3"/>
      <c r="F86" s="3" t="s">
        <v>149</v>
      </c>
      <c r="G86" s="3" t="s">
        <v>50</v>
      </c>
      <c r="H86" s="6" t="s">
        <v>150</v>
      </c>
      <c r="I86" s="3" t="s">
        <v>151</v>
      </c>
      <c r="K86" s="3" t="s">
        <v>74</v>
      </c>
      <c r="L86" s="3" t="s">
        <v>71</v>
      </c>
      <c r="M86" s="4"/>
      <c r="N86" s="3" t="s">
        <v>75</v>
      </c>
      <c r="U86" s="3" t="s">
        <v>67</v>
      </c>
      <c r="V86" s="3" t="s">
        <v>177</v>
      </c>
      <c r="Z86" s="3">
        <v>0.0</v>
      </c>
      <c r="AA86" s="3">
        <v>1.0</v>
      </c>
      <c r="AE86" s="3">
        <v>0.47</v>
      </c>
      <c r="AN86" s="3">
        <v>1.0</v>
      </c>
      <c r="AP86" s="3" t="s">
        <v>329</v>
      </c>
      <c r="AR86" s="3">
        <v>233.0</v>
      </c>
    </row>
    <row r="87" ht="15.75" customHeight="1">
      <c r="A87" s="4">
        <v>235.0</v>
      </c>
      <c r="B87" s="3" t="s">
        <v>331</v>
      </c>
      <c r="C87" s="3" t="s">
        <v>332</v>
      </c>
      <c r="D87" s="3"/>
      <c r="E87" s="3"/>
      <c r="F87" s="3" t="s">
        <v>106</v>
      </c>
      <c r="G87" s="3" t="s">
        <v>50</v>
      </c>
      <c r="H87" s="6" t="s">
        <v>107</v>
      </c>
      <c r="I87" s="3" t="s">
        <v>108</v>
      </c>
      <c r="K87" s="3" t="s">
        <v>124</v>
      </c>
      <c r="L87" s="3" t="s">
        <v>50</v>
      </c>
      <c r="M87" s="8" t="s">
        <v>255</v>
      </c>
      <c r="N87" s="3" t="s">
        <v>126</v>
      </c>
      <c r="U87" s="3" t="s">
        <v>56</v>
      </c>
      <c r="V87" s="3" t="s">
        <v>177</v>
      </c>
      <c r="W87" s="3">
        <v>390.0</v>
      </c>
      <c r="X87" s="3">
        <v>555.0</v>
      </c>
      <c r="Y87" s="3" t="s">
        <v>178</v>
      </c>
      <c r="Z87" s="3">
        <v>0.0</v>
      </c>
      <c r="AA87" s="3">
        <v>0.0</v>
      </c>
      <c r="AD87" s="3">
        <v>8.0</v>
      </c>
      <c r="AH87" s="3">
        <v>-0.0288</v>
      </c>
      <c r="AJ87" s="3">
        <v>26.4</v>
      </c>
      <c r="AN87" s="3">
        <v>1.0</v>
      </c>
      <c r="AP87" s="3" t="s">
        <v>331</v>
      </c>
      <c r="AR87" s="3">
        <v>235.0</v>
      </c>
      <c r="AS87" s="3">
        <v>70.5</v>
      </c>
      <c r="AT87" s="3" t="s">
        <v>252</v>
      </c>
    </row>
    <row r="88" ht="15.75" customHeight="1">
      <c r="A88" s="4">
        <v>236.0</v>
      </c>
      <c r="B88" s="3" t="s">
        <v>333</v>
      </c>
      <c r="C88" s="3" t="s">
        <v>334</v>
      </c>
      <c r="D88" s="2"/>
      <c r="E88" s="2" t="b">
        <v>0</v>
      </c>
      <c r="F88" s="3" t="s">
        <v>106</v>
      </c>
      <c r="G88" s="3" t="s">
        <v>50</v>
      </c>
      <c r="H88" s="6" t="s">
        <v>107</v>
      </c>
      <c r="I88" s="3" t="s">
        <v>108</v>
      </c>
      <c r="K88" s="3" t="s">
        <v>115</v>
      </c>
      <c r="L88" s="3" t="s">
        <v>50</v>
      </c>
      <c r="M88" s="8" t="s">
        <v>335</v>
      </c>
      <c r="N88" s="3" t="s">
        <v>117</v>
      </c>
      <c r="U88" s="3" t="s">
        <v>67</v>
      </c>
      <c r="V88" s="3" t="s">
        <v>144</v>
      </c>
      <c r="W88" s="3">
        <v>120.0</v>
      </c>
      <c r="Y88" s="3" t="s">
        <v>58</v>
      </c>
      <c r="Z88" s="3">
        <v>0.0</v>
      </c>
      <c r="AA88" s="3">
        <v>1.0</v>
      </c>
      <c r="AE88" s="3">
        <v>0.05</v>
      </c>
      <c r="AN88" s="3">
        <v>1.0</v>
      </c>
      <c r="AP88" s="3" t="s">
        <v>333</v>
      </c>
      <c r="AR88" s="3">
        <v>236.0</v>
      </c>
    </row>
    <row r="89" ht="15.75" customHeight="1">
      <c r="A89" s="4">
        <v>237.0</v>
      </c>
      <c r="B89" s="3" t="s">
        <v>331</v>
      </c>
      <c r="C89" s="3" t="s">
        <v>332</v>
      </c>
      <c r="D89" s="3"/>
      <c r="E89" s="3"/>
      <c r="F89" s="3" t="s">
        <v>124</v>
      </c>
      <c r="G89" s="3" t="s">
        <v>50</v>
      </c>
      <c r="H89" s="8" t="s">
        <v>255</v>
      </c>
      <c r="I89" s="3" t="s">
        <v>126</v>
      </c>
      <c r="K89" s="3" t="s">
        <v>76</v>
      </c>
      <c r="L89" s="3" t="s">
        <v>50</v>
      </c>
      <c r="M89" s="6" t="s">
        <v>77</v>
      </c>
      <c r="N89" s="3" t="s">
        <v>78</v>
      </c>
      <c r="U89" s="3" t="s">
        <v>56</v>
      </c>
      <c r="V89" s="3" t="s">
        <v>177</v>
      </c>
      <c r="W89" s="3">
        <v>390.0</v>
      </c>
      <c r="X89" s="3">
        <v>555.0</v>
      </c>
      <c r="Y89" s="3" t="s">
        <v>178</v>
      </c>
      <c r="Z89" s="3">
        <v>0.0</v>
      </c>
      <c r="AA89" s="3">
        <v>0.0</v>
      </c>
      <c r="AD89" s="3">
        <v>8.0</v>
      </c>
      <c r="AH89" s="3">
        <v>-0.0579</v>
      </c>
      <c r="AJ89" s="3">
        <v>90.7</v>
      </c>
      <c r="AN89" s="3">
        <v>1.0</v>
      </c>
      <c r="AP89" s="3" t="s">
        <v>331</v>
      </c>
      <c r="AR89" s="3">
        <v>237.0</v>
      </c>
      <c r="AS89" s="3">
        <v>70.5</v>
      </c>
      <c r="AT89" s="3" t="s">
        <v>252</v>
      </c>
    </row>
    <row r="90" ht="15.75" customHeight="1">
      <c r="A90" s="4">
        <v>240.0</v>
      </c>
      <c r="B90" s="3" t="s">
        <v>331</v>
      </c>
      <c r="C90" s="3" t="s">
        <v>332</v>
      </c>
      <c r="D90" s="3"/>
      <c r="E90" s="3"/>
      <c r="F90" s="3" t="s">
        <v>106</v>
      </c>
      <c r="G90" s="3" t="s">
        <v>50</v>
      </c>
      <c r="H90" s="6" t="s">
        <v>107</v>
      </c>
      <c r="I90" s="3" t="s">
        <v>108</v>
      </c>
      <c r="K90" s="3" t="s">
        <v>76</v>
      </c>
      <c r="L90" s="3" t="s">
        <v>50</v>
      </c>
      <c r="M90" s="6" t="s">
        <v>77</v>
      </c>
      <c r="N90" s="3" t="s">
        <v>78</v>
      </c>
      <c r="U90" s="3" t="s">
        <v>56</v>
      </c>
      <c r="V90" s="3" t="s">
        <v>177</v>
      </c>
      <c r="W90" s="3">
        <v>390.0</v>
      </c>
      <c r="X90" s="3">
        <v>555.0</v>
      </c>
      <c r="Y90" s="3" t="s">
        <v>178</v>
      </c>
      <c r="Z90" s="3">
        <v>0.0</v>
      </c>
      <c r="AA90" s="3">
        <v>0.0</v>
      </c>
      <c r="AD90" s="3">
        <v>8.0</v>
      </c>
      <c r="AH90" s="3">
        <v>-0.0229</v>
      </c>
      <c r="AJ90" s="3">
        <v>29.8</v>
      </c>
      <c r="AN90" s="3">
        <v>1.0</v>
      </c>
      <c r="AP90" s="3" t="s">
        <v>331</v>
      </c>
      <c r="AR90" s="3">
        <v>240.0</v>
      </c>
      <c r="AS90" s="3">
        <v>70.5</v>
      </c>
      <c r="AT90" s="3" t="s">
        <v>252</v>
      </c>
    </row>
    <row r="91" ht="15.75" customHeight="1">
      <c r="A91" s="4">
        <v>241.0</v>
      </c>
      <c r="B91" s="3" t="s">
        <v>336</v>
      </c>
      <c r="C91" s="3" t="s">
        <v>337</v>
      </c>
      <c r="D91" s="2"/>
      <c r="E91" s="2" t="b">
        <v>0</v>
      </c>
      <c r="F91" s="3" t="s">
        <v>106</v>
      </c>
      <c r="G91" s="3" t="s">
        <v>50</v>
      </c>
      <c r="H91" s="6" t="s">
        <v>107</v>
      </c>
      <c r="I91" s="3" t="s">
        <v>108</v>
      </c>
      <c r="K91" s="3" t="s">
        <v>49</v>
      </c>
      <c r="L91" s="3" t="s">
        <v>50</v>
      </c>
      <c r="M91" s="6" t="s">
        <v>51</v>
      </c>
      <c r="N91" s="3" t="s">
        <v>52</v>
      </c>
      <c r="U91" s="3" t="s">
        <v>56</v>
      </c>
      <c r="V91" s="3" t="s">
        <v>144</v>
      </c>
      <c r="Z91" s="3">
        <v>0.0</v>
      </c>
      <c r="AA91" s="3">
        <v>1.0</v>
      </c>
      <c r="AH91" s="3">
        <v>-0.211</v>
      </c>
      <c r="AJ91" s="3">
        <v>154.9</v>
      </c>
      <c r="AN91" s="3">
        <v>1.0</v>
      </c>
      <c r="AP91" s="3" t="s">
        <v>336</v>
      </c>
      <c r="AQ91" s="3" t="s">
        <v>338</v>
      </c>
      <c r="AR91" s="3">
        <v>241.0</v>
      </c>
    </row>
    <row r="92" ht="15.75" customHeight="1">
      <c r="A92" s="4">
        <v>245.0</v>
      </c>
      <c r="B92" s="3" t="s">
        <v>339</v>
      </c>
      <c r="C92" s="3" t="s">
        <v>131</v>
      </c>
      <c r="D92" s="2"/>
      <c r="E92" s="2" t="b">
        <v>1</v>
      </c>
      <c r="F92" s="3" t="s">
        <v>164</v>
      </c>
      <c r="G92" s="3" t="s">
        <v>50</v>
      </c>
      <c r="H92" s="6" t="s">
        <v>165</v>
      </c>
      <c r="I92" s="3" t="s">
        <v>166</v>
      </c>
      <c r="K92" s="3" t="s">
        <v>49</v>
      </c>
      <c r="L92" s="3" t="s">
        <v>50</v>
      </c>
      <c r="M92" s="6" t="s">
        <v>51</v>
      </c>
      <c r="N92" s="3" t="s">
        <v>52</v>
      </c>
      <c r="U92" s="3" t="s">
        <v>56</v>
      </c>
      <c r="V92" s="3" t="s">
        <v>170</v>
      </c>
      <c r="Z92" s="3">
        <v>0.0</v>
      </c>
      <c r="AA92" s="3">
        <v>0.0</v>
      </c>
      <c r="AC92" s="3">
        <v>2.0</v>
      </c>
      <c r="AH92" s="3">
        <v>-0.434</v>
      </c>
      <c r="AJ92" s="3">
        <v>302.0</v>
      </c>
      <c r="AN92" s="3">
        <v>1.0</v>
      </c>
      <c r="AP92" s="3" t="s">
        <v>339</v>
      </c>
      <c r="AR92" s="3">
        <v>245.0</v>
      </c>
      <c r="AS92" s="3">
        <v>174.0</v>
      </c>
      <c r="AT92" s="3" t="s">
        <v>59</v>
      </c>
    </row>
    <row r="93" ht="15.75" customHeight="1">
      <c r="A93" s="4">
        <v>246.0</v>
      </c>
      <c r="B93" s="3" t="s">
        <v>340</v>
      </c>
      <c r="C93" s="3" t="s">
        <v>131</v>
      </c>
      <c r="D93" s="3"/>
      <c r="E93" s="3"/>
      <c r="F93" s="3" t="s">
        <v>300</v>
      </c>
      <c r="G93" s="3" t="s">
        <v>50</v>
      </c>
      <c r="H93" s="8" t="s">
        <v>341</v>
      </c>
      <c r="I93" s="3" t="s">
        <v>302</v>
      </c>
      <c r="K93" s="3" t="s">
        <v>258</v>
      </c>
      <c r="L93" s="3" t="s">
        <v>50</v>
      </c>
      <c r="M93" s="6" t="s">
        <v>259</v>
      </c>
      <c r="N93" s="3" t="s">
        <v>260</v>
      </c>
      <c r="U93" s="3" t="s">
        <v>56</v>
      </c>
      <c r="V93" s="3" t="s">
        <v>79</v>
      </c>
      <c r="Z93" s="3">
        <v>0.0</v>
      </c>
      <c r="AA93" s="3">
        <v>0.0</v>
      </c>
      <c r="AC93" s="3">
        <v>2.0</v>
      </c>
      <c r="AH93" s="3">
        <v>-0.095</v>
      </c>
      <c r="AJ93" s="3">
        <v>90.7</v>
      </c>
      <c r="AN93" s="3">
        <v>1.0</v>
      </c>
      <c r="AP93" s="3" t="s">
        <v>340</v>
      </c>
      <c r="AR93" s="3">
        <v>246.0</v>
      </c>
    </row>
    <row r="94" ht="15.75" customHeight="1">
      <c r="A94" s="4">
        <v>247.0</v>
      </c>
      <c r="B94" s="3" t="s">
        <v>342</v>
      </c>
      <c r="C94" s="3" t="s">
        <v>131</v>
      </c>
      <c r="D94" s="2"/>
      <c r="E94" s="2" t="b">
        <v>0</v>
      </c>
      <c r="F94" s="3" t="s">
        <v>106</v>
      </c>
      <c r="G94" s="3" t="s">
        <v>50</v>
      </c>
      <c r="H94" s="6" t="s">
        <v>107</v>
      </c>
      <c r="I94" s="3" t="s">
        <v>108</v>
      </c>
      <c r="K94" s="3" t="s">
        <v>124</v>
      </c>
      <c r="L94" s="3" t="s">
        <v>50</v>
      </c>
      <c r="M94" s="8" t="s">
        <v>343</v>
      </c>
      <c r="N94" s="3" t="s">
        <v>126</v>
      </c>
      <c r="U94" s="3" t="s">
        <v>56</v>
      </c>
      <c r="V94" s="3" t="s">
        <v>270</v>
      </c>
      <c r="Z94" s="3">
        <v>0.0</v>
      </c>
      <c r="AA94" s="3">
        <v>0.0</v>
      </c>
      <c r="AC94" s="3">
        <v>2.0</v>
      </c>
      <c r="AH94" s="3">
        <v>-0.071</v>
      </c>
      <c r="AJ94" s="3">
        <v>59.1</v>
      </c>
      <c r="AN94" s="3">
        <v>1.0</v>
      </c>
      <c r="AP94" s="3" t="s">
        <v>342</v>
      </c>
      <c r="AR94" s="3">
        <v>247.0</v>
      </c>
      <c r="AS94" s="22">
        <v>118.0</v>
      </c>
      <c r="AT94" s="3" t="s">
        <v>59</v>
      </c>
      <c r="AU94" s="3" t="s">
        <v>344</v>
      </c>
    </row>
    <row r="95" ht="15.75" customHeight="1">
      <c r="A95" s="4">
        <v>248.0</v>
      </c>
      <c r="B95" s="3" t="s">
        <v>345</v>
      </c>
      <c r="C95" s="3" t="s">
        <v>131</v>
      </c>
      <c r="D95" s="2"/>
      <c r="E95" s="2" t="b">
        <v>1</v>
      </c>
      <c r="F95" s="3" t="s">
        <v>106</v>
      </c>
      <c r="G95" s="3" t="s">
        <v>50</v>
      </c>
      <c r="H95" s="6" t="s">
        <v>107</v>
      </c>
      <c r="I95" s="3" t="s">
        <v>108</v>
      </c>
      <c r="K95" s="3" t="s">
        <v>258</v>
      </c>
      <c r="L95" s="3" t="s">
        <v>50</v>
      </c>
      <c r="M95" s="6" t="s">
        <v>259</v>
      </c>
      <c r="N95" s="3" t="s">
        <v>260</v>
      </c>
      <c r="U95" s="3" t="s">
        <v>56</v>
      </c>
      <c r="V95" s="3" t="s">
        <v>170</v>
      </c>
      <c r="Z95" s="3">
        <v>0.0</v>
      </c>
      <c r="AA95" s="3">
        <v>0.0</v>
      </c>
      <c r="AC95" s="3">
        <v>2.0</v>
      </c>
      <c r="AH95" s="3">
        <v>-0.061</v>
      </c>
      <c r="AJ95" s="3">
        <v>57.4</v>
      </c>
      <c r="AN95" s="3">
        <v>1.0</v>
      </c>
      <c r="AP95" s="3" t="s">
        <v>345</v>
      </c>
      <c r="AR95" s="3">
        <v>248.0</v>
      </c>
      <c r="AS95" s="3">
        <v>185.0</v>
      </c>
      <c r="AT95" s="3" t="s">
        <v>59</v>
      </c>
    </row>
    <row r="96" ht="15.75" customHeight="1">
      <c r="A96" s="4">
        <v>249.0</v>
      </c>
      <c r="B96" s="3" t="s">
        <v>340</v>
      </c>
      <c r="C96" s="3" t="s">
        <v>131</v>
      </c>
      <c r="D96" s="3"/>
      <c r="E96" s="3"/>
      <c r="F96" s="3" t="s">
        <v>300</v>
      </c>
      <c r="G96" s="3" t="s">
        <v>50</v>
      </c>
      <c r="H96" s="8" t="s">
        <v>341</v>
      </c>
      <c r="I96" s="3" t="s">
        <v>302</v>
      </c>
      <c r="K96" s="3" t="s">
        <v>164</v>
      </c>
      <c r="L96" s="3" t="s">
        <v>50</v>
      </c>
      <c r="M96" s="6" t="s">
        <v>165</v>
      </c>
      <c r="N96" s="3" t="s">
        <v>166</v>
      </c>
      <c r="U96" s="3" t="s">
        <v>56</v>
      </c>
      <c r="V96" s="3" t="s">
        <v>79</v>
      </c>
      <c r="Z96" s="3">
        <v>0.0</v>
      </c>
      <c r="AA96" s="3">
        <v>0.0</v>
      </c>
      <c r="AC96" s="3">
        <v>2.0</v>
      </c>
      <c r="AH96" s="3">
        <v>-0.016</v>
      </c>
      <c r="AJ96" s="3">
        <v>8.87</v>
      </c>
      <c r="AN96" s="3">
        <v>1.0</v>
      </c>
      <c r="AP96" s="3" t="s">
        <v>340</v>
      </c>
      <c r="AR96" s="3">
        <v>249.0</v>
      </c>
      <c r="AS96" s="23">
        <v>1.17E-28</v>
      </c>
      <c r="AT96" s="3" t="s">
        <v>346</v>
      </c>
    </row>
    <row r="97" ht="15.75" customHeight="1">
      <c r="A97" s="4">
        <v>250.0</v>
      </c>
      <c r="B97" s="3" t="s">
        <v>347</v>
      </c>
      <c r="C97" s="3" t="s">
        <v>131</v>
      </c>
      <c r="D97" s="2"/>
      <c r="E97" s="2" t="b">
        <v>0</v>
      </c>
      <c r="F97" s="3" t="s">
        <v>106</v>
      </c>
      <c r="G97" s="3" t="s">
        <v>50</v>
      </c>
      <c r="H97" s="6" t="s">
        <v>107</v>
      </c>
      <c r="I97" s="3" t="s">
        <v>108</v>
      </c>
      <c r="K97" s="3" t="s">
        <v>135</v>
      </c>
      <c r="L97" s="3" t="s">
        <v>50</v>
      </c>
      <c r="M97" s="8" t="s">
        <v>62</v>
      </c>
      <c r="N97" s="3" t="s">
        <v>136</v>
      </c>
      <c r="U97" s="3" t="s">
        <v>56</v>
      </c>
      <c r="V97" s="3" t="s">
        <v>144</v>
      </c>
      <c r="Z97" s="3">
        <v>0.0</v>
      </c>
      <c r="AA97" s="3">
        <v>0.0</v>
      </c>
      <c r="AC97" s="3">
        <v>2.0</v>
      </c>
      <c r="AH97" s="3">
        <v>0.022</v>
      </c>
      <c r="AJ97" s="3">
        <v>3.5</v>
      </c>
      <c r="AN97" s="3">
        <v>1.0</v>
      </c>
      <c r="AP97" s="3" t="s">
        <v>347</v>
      </c>
      <c r="AR97" s="3">
        <v>250.0</v>
      </c>
      <c r="AS97" s="3">
        <v>118.0</v>
      </c>
      <c r="AT97" s="3" t="s">
        <v>59</v>
      </c>
    </row>
    <row r="98" ht="15.75" customHeight="1">
      <c r="A98" s="4">
        <v>252.0</v>
      </c>
      <c r="C98" s="3" t="s">
        <v>348</v>
      </c>
      <c r="D98" s="2"/>
      <c r="E98" s="2" t="b">
        <v>1</v>
      </c>
      <c r="F98" s="3" t="s">
        <v>349</v>
      </c>
      <c r="G98" s="3" t="s">
        <v>50</v>
      </c>
      <c r="H98" s="6" t="s">
        <v>350</v>
      </c>
      <c r="I98" s="3" t="s">
        <v>351</v>
      </c>
      <c r="K98" s="21" t="s">
        <v>154</v>
      </c>
      <c r="L98" s="21" t="s">
        <v>71</v>
      </c>
      <c r="M98" s="4"/>
      <c r="N98" s="21"/>
      <c r="S98" s="3">
        <v>31.0</v>
      </c>
      <c r="T98" s="3" t="s">
        <v>167</v>
      </c>
      <c r="U98" s="3" t="s">
        <v>67</v>
      </c>
      <c r="V98" s="3" t="s">
        <v>68</v>
      </c>
      <c r="Z98" s="3">
        <v>0.0</v>
      </c>
      <c r="AA98" s="3">
        <v>1.0</v>
      </c>
      <c r="AE98" s="3">
        <v>0.394</v>
      </c>
      <c r="AN98" s="3">
        <v>0.0</v>
      </c>
      <c r="AR98" s="3">
        <v>252.0</v>
      </c>
    </row>
    <row r="99" ht="15.75" customHeight="1">
      <c r="A99" s="4">
        <v>253.0</v>
      </c>
      <c r="B99" s="3" t="s">
        <v>352</v>
      </c>
      <c r="C99" s="3" t="s">
        <v>353</v>
      </c>
      <c r="D99" s="2"/>
      <c r="E99" s="2" t="b">
        <v>1</v>
      </c>
      <c r="F99" s="3" t="s">
        <v>106</v>
      </c>
      <c r="G99" s="3" t="s">
        <v>50</v>
      </c>
      <c r="H99" s="6" t="s">
        <v>107</v>
      </c>
      <c r="I99" s="3" t="s">
        <v>108</v>
      </c>
      <c r="K99" s="3" t="s">
        <v>287</v>
      </c>
      <c r="L99" s="3" t="s">
        <v>50</v>
      </c>
      <c r="M99" s="6" t="s">
        <v>288</v>
      </c>
      <c r="N99" s="3" t="s">
        <v>289</v>
      </c>
      <c r="U99" s="3" t="s">
        <v>56</v>
      </c>
      <c r="V99" s="3" t="s">
        <v>168</v>
      </c>
      <c r="Z99" s="3">
        <v>0.0</v>
      </c>
      <c r="AA99" s="3">
        <v>1.0</v>
      </c>
      <c r="AH99" s="3">
        <v>0.0072</v>
      </c>
      <c r="AJ99" s="3">
        <v>30.0</v>
      </c>
      <c r="AN99" s="3">
        <v>0.0</v>
      </c>
      <c r="AP99" s="3" t="s">
        <v>352</v>
      </c>
      <c r="AR99" s="3">
        <v>253.0</v>
      </c>
    </row>
    <row r="100" ht="15.75" customHeight="1">
      <c r="A100" s="4">
        <v>254.0</v>
      </c>
      <c r="B100" s="3" t="s">
        <v>354</v>
      </c>
      <c r="C100" s="3" t="s">
        <v>355</v>
      </c>
      <c r="D100" s="2"/>
      <c r="E100" s="2" t="b">
        <v>1</v>
      </c>
      <c r="F100" s="3" t="s">
        <v>135</v>
      </c>
      <c r="G100" s="3" t="s">
        <v>50</v>
      </c>
      <c r="H100" s="8" t="s">
        <v>62</v>
      </c>
      <c r="I100" s="3" t="s">
        <v>136</v>
      </c>
      <c r="K100" s="3" t="s">
        <v>154</v>
      </c>
      <c r="L100" s="3" t="s">
        <v>71</v>
      </c>
      <c r="M100" s="4"/>
      <c r="U100" s="3" t="s">
        <v>67</v>
      </c>
      <c r="V100" s="3" t="s">
        <v>68</v>
      </c>
      <c r="W100" s="3">
        <v>298.15</v>
      </c>
      <c r="Y100" s="3" t="s">
        <v>87</v>
      </c>
      <c r="Z100" s="3">
        <v>0.0</v>
      </c>
      <c r="AA100" s="3">
        <v>1.0</v>
      </c>
      <c r="AE100" s="3">
        <v>0.39</v>
      </c>
      <c r="AN100" s="3">
        <v>1.0</v>
      </c>
      <c r="AP100" s="3" t="s">
        <v>354</v>
      </c>
      <c r="AR100" s="3">
        <v>254.0</v>
      </c>
    </row>
    <row r="101" ht="15.75" customHeight="1">
      <c r="A101" s="4">
        <v>255.0</v>
      </c>
      <c r="B101" s="3" t="s">
        <v>354</v>
      </c>
      <c r="C101" s="3" t="s">
        <v>355</v>
      </c>
      <c r="D101" s="2"/>
      <c r="E101" s="2" t="b">
        <v>1</v>
      </c>
      <c r="F101" s="3" t="s">
        <v>106</v>
      </c>
      <c r="G101" s="3" t="s">
        <v>50</v>
      </c>
      <c r="H101" s="6" t="s">
        <v>107</v>
      </c>
      <c r="I101" s="3" t="s">
        <v>108</v>
      </c>
      <c r="K101" s="3" t="s">
        <v>154</v>
      </c>
      <c r="L101" s="3" t="s">
        <v>71</v>
      </c>
      <c r="M101" s="4"/>
      <c r="U101" s="3" t="s">
        <v>67</v>
      </c>
      <c r="V101" s="3" t="s">
        <v>68</v>
      </c>
      <c r="W101" s="3">
        <v>298.15</v>
      </c>
      <c r="Y101" s="3" t="s">
        <v>87</v>
      </c>
      <c r="Z101" s="3">
        <v>0.0</v>
      </c>
      <c r="AA101" s="3">
        <v>1.0</v>
      </c>
      <c r="AE101" s="3">
        <v>0.45</v>
      </c>
      <c r="AN101" s="3">
        <v>1.0</v>
      </c>
      <c r="AP101" s="3" t="s">
        <v>354</v>
      </c>
      <c r="AR101" s="3">
        <v>255.0</v>
      </c>
    </row>
    <row r="102" ht="15.75" customHeight="1">
      <c r="A102" s="4">
        <v>256.0</v>
      </c>
      <c r="B102" s="3" t="s">
        <v>354</v>
      </c>
      <c r="C102" s="3" t="s">
        <v>355</v>
      </c>
      <c r="D102" s="2"/>
      <c r="E102" s="2" t="b">
        <v>1</v>
      </c>
      <c r="F102" s="3" t="s">
        <v>356</v>
      </c>
      <c r="G102" s="3" t="s">
        <v>71</v>
      </c>
      <c r="K102" s="3" t="s">
        <v>135</v>
      </c>
      <c r="L102" s="3" t="s">
        <v>50</v>
      </c>
      <c r="M102" s="8" t="s">
        <v>62</v>
      </c>
      <c r="N102" s="3" t="s">
        <v>136</v>
      </c>
      <c r="U102" s="3" t="s">
        <v>67</v>
      </c>
      <c r="V102" s="3" t="s">
        <v>68</v>
      </c>
      <c r="W102" s="3">
        <v>298.15</v>
      </c>
      <c r="Y102" s="3" t="s">
        <v>87</v>
      </c>
      <c r="Z102" s="3">
        <v>0.0</v>
      </c>
      <c r="AA102" s="3">
        <v>1.0</v>
      </c>
      <c r="AE102" s="3">
        <v>0.18</v>
      </c>
      <c r="AN102" s="3">
        <v>1.0</v>
      </c>
      <c r="AP102" s="3" t="s">
        <v>354</v>
      </c>
      <c r="AR102" s="3">
        <v>256.0</v>
      </c>
    </row>
    <row r="103" ht="15.75" customHeight="1">
      <c r="A103" s="4">
        <v>257.0</v>
      </c>
      <c r="B103" s="3" t="s">
        <v>354</v>
      </c>
      <c r="C103" s="3" t="s">
        <v>355</v>
      </c>
      <c r="D103" s="2"/>
      <c r="E103" s="2" t="b">
        <v>1</v>
      </c>
      <c r="F103" s="3" t="s">
        <v>356</v>
      </c>
      <c r="G103" s="3" t="s">
        <v>71</v>
      </c>
      <c r="K103" s="3" t="s">
        <v>106</v>
      </c>
      <c r="L103" s="3" t="s">
        <v>50</v>
      </c>
      <c r="M103" s="6" t="s">
        <v>107</v>
      </c>
      <c r="N103" s="3" t="s">
        <v>108</v>
      </c>
      <c r="U103" s="3" t="s">
        <v>67</v>
      </c>
      <c r="V103" s="3" t="s">
        <v>68</v>
      </c>
      <c r="W103" s="3">
        <v>298.15</v>
      </c>
      <c r="Y103" s="3" t="s">
        <v>87</v>
      </c>
      <c r="Z103" s="3">
        <v>0.0</v>
      </c>
      <c r="AA103" s="3">
        <v>1.0</v>
      </c>
      <c r="AE103" s="3">
        <v>1.1</v>
      </c>
      <c r="AN103" s="3">
        <v>1.0</v>
      </c>
      <c r="AP103" s="3" t="s">
        <v>354</v>
      </c>
      <c r="AR103" s="3">
        <v>257.0</v>
      </c>
    </row>
    <row r="104" ht="15.75" customHeight="1">
      <c r="A104" s="4">
        <v>258.0</v>
      </c>
      <c r="B104" s="3" t="s">
        <v>354</v>
      </c>
      <c r="C104" s="3" t="s">
        <v>355</v>
      </c>
      <c r="D104" s="2"/>
      <c r="E104" s="2" t="b">
        <v>1</v>
      </c>
      <c r="F104" s="3" t="s">
        <v>321</v>
      </c>
      <c r="G104" s="3" t="s">
        <v>71</v>
      </c>
      <c r="K104" s="3" t="s">
        <v>135</v>
      </c>
      <c r="L104" s="3" t="s">
        <v>50</v>
      </c>
      <c r="M104" s="8" t="s">
        <v>62</v>
      </c>
      <c r="N104" s="3" t="s">
        <v>136</v>
      </c>
      <c r="U104" s="3" t="s">
        <v>67</v>
      </c>
      <c r="V104" s="3" t="s">
        <v>68</v>
      </c>
      <c r="W104" s="3">
        <v>298.15</v>
      </c>
      <c r="Y104" s="3" t="s">
        <v>87</v>
      </c>
      <c r="Z104" s="3">
        <v>0.0</v>
      </c>
      <c r="AA104" s="3">
        <v>1.0</v>
      </c>
      <c r="AE104" s="3">
        <v>0.45</v>
      </c>
      <c r="AN104" s="3">
        <v>1.0</v>
      </c>
      <c r="AP104" s="3" t="s">
        <v>354</v>
      </c>
      <c r="AR104" s="3">
        <v>258.0</v>
      </c>
    </row>
    <row r="105" ht="15.75" customHeight="1">
      <c r="A105" s="4">
        <v>259.0</v>
      </c>
      <c r="B105" s="3" t="s">
        <v>354</v>
      </c>
      <c r="C105" s="3" t="s">
        <v>355</v>
      </c>
      <c r="D105" s="2"/>
      <c r="E105" s="2" t="b">
        <v>1</v>
      </c>
      <c r="F105" s="3" t="s">
        <v>321</v>
      </c>
      <c r="G105" s="3" t="s">
        <v>71</v>
      </c>
      <c r="K105" s="3" t="s">
        <v>106</v>
      </c>
      <c r="L105" s="3" t="s">
        <v>50</v>
      </c>
      <c r="M105" s="6" t="s">
        <v>107</v>
      </c>
      <c r="N105" s="3" t="s">
        <v>108</v>
      </c>
      <c r="U105" s="3" t="s">
        <v>67</v>
      </c>
      <c r="V105" s="3" t="s">
        <v>68</v>
      </c>
      <c r="W105" s="3">
        <v>298.15</v>
      </c>
      <c r="Y105" s="3" t="s">
        <v>87</v>
      </c>
      <c r="Z105" s="3">
        <v>0.0</v>
      </c>
      <c r="AA105" s="3">
        <v>1.0</v>
      </c>
      <c r="AE105" s="3">
        <v>0.34</v>
      </c>
      <c r="AN105" s="3">
        <v>1.0</v>
      </c>
      <c r="AP105" s="3" t="s">
        <v>354</v>
      </c>
      <c r="AR105" s="3">
        <v>259.0</v>
      </c>
    </row>
    <row r="106" ht="15.75" customHeight="1">
      <c r="A106" s="4">
        <v>260.0</v>
      </c>
      <c r="B106" s="3" t="s">
        <v>354</v>
      </c>
      <c r="C106" s="3" t="s">
        <v>355</v>
      </c>
      <c r="D106" s="2"/>
      <c r="E106" s="2" t="b">
        <v>1</v>
      </c>
      <c r="F106" s="3" t="s">
        <v>357</v>
      </c>
      <c r="G106" s="3" t="s">
        <v>71</v>
      </c>
      <c r="K106" s="3" t="s">
        <v>135</v>
      </c>
      <c r="L106" s="3" t="s">
        <v>50</v>
      </c>
      <c r="M106" s="8" t="s">
        <v>62</v>
      </c>
      <c r="N106" s="3" t="s">
        <v>136</v>
      </c>
      <c r="U106" s="3" t="s">
        <v>67</v>
      </c>
      <c r="V106" s="3" t="s">
        <v>68</v>
      </c>
      <c r="W106" s="3">
        <v>298.15</v>
      </c>
      <c r="Y106" s="3" t="s">
        <v>87</v>
      </c>
      <c r="Z106" s="3">
        <v>0.0</v>
      </c>
      <c r="AA106" s="3">
        <v>1.0</v>
      </c>
      <c r="AE106" s="3">
        <v>1.2</v>
      </c>
      <c r="AN106" s="3">
        <v>1.0</v>
      </c>
      <c r="AP106" s="3" t="s">
        <v>354</v>
      </c>
      <c r="AR106" s="3">
        <v>260.0</v>
      </c>
    </row>
    <row r="107" ht="15.75" customHeight="1">
      <c r="A107" s="4">
        <v>261.0</v>
      </c>
      <c r="B107" s="3" t="s">
        <v>354</v>
      </c>
      <c r="C107" s="3" t="s">
        <v>355</v>
      </c>
      <c r="D107" s="2"/>
      <c r="E107" s="2" t="b">
        <v>1</v>
      </c>
      <c r="F107" s="3" t="s">
        <v>357</v>
      </c>
      <c r="G107" s="3" t="s">
        <v>71</v>
      </c>
      <c r="K107" s="3" t="s">
        <v>106</v>
      </c>
      <c r="L107" s="3" t="s">
        <v>50</v>
      </c>
      <c r="M107" s="6" t="s">
        <v>107</v>
      </c>
      <c r="N107" s="3" t="s">
        <v>108</v>
      </c>
      <c r="U107" s="3" t="s">
        <v>67</v>
      </c>
      <c r="V107" s="3" t="s">
        <v>68</v>
      </c>
      <c r="W107" s="3">
        <v>298.15</v>
      </c>
      <c r="Y107" s="3" t="s">
        <v>87</v>
      </c>
      <c r="Z107" s="3">
        <v>0.0</v>
      </c>
      <c r="AA107" s="3">
        <v>1.0</v>
      </c>
      <c r="AE107" s="3">
        <v>0.01</v>
      </c>
      <c r="AN107" s="3">
        <v>1.0</v>
      </c>
      <c r="AP107" s="3" t="s">
        <v>354</v>
      </c>
      <c r="AR107" s="3">
        <v>261.0</v>
      </c>
    </row>
    <row r="108" ht="15.75" customHeight="1">
      <c r="A108" s="4">
        <v>262.0</v>
      </c>
      <c r="B108" s="3" t="s">
        <v>329</v>
      </c>
      <c r="C108" s="3" t="s">
        <v>330</v>
      </c>
      <c r="D108" s="3"/>
      <c r="E108" s="3"/>
      <c r="F108" s="3" t="s">
        <v>149</v>
      </c>
      <c r="G108" s="3" t="s">
        <v>50</v>
      </c>
      <c r="H108" s="6" t="s">
        <v>150</v>
      </c>
      <c r="I108" s="3" t="s">
        <v>151</v>
      </c>
      <c r="K108" s="3" t="s">
        <v>74</v>
      </c>
      <c r="L108" s="3" t="s">
        <v>71</v>
      </c>
      <c r="M108" s="4"/>
      <c r="N108" s="3" t="s">
        <v>75</v>
      </c>
      <c r="U108" s="3" t="s">
        <v>67</v>
      </c>
      <c r="V108" s="3" t="s">
        <v>358</v>
      </c>
      <c r="W108" s="3">
        <v>25.0</v>
      </c>
      <c r="Y108" s="3" t="s">
        <v>58</v>
      </c>
      <c r="Z108" s="3">
        <v>0.0</v>
      </c>
      <c r="AA108" s="3">
        <v>1.0</v>
      </c>
      <c r="AE108" s="3">
        <v>0.47</v>
      </c>
      <c r="AN108" s="3">
        <v>1.0</v>
      </c>
      <c r="AP108" s="3" t="s">
        <v>329</v>
      </c>
      <c r="AQ108" s="3" t="s">
        <v>359</v>
      </c>
      <c r="AR108" s="3">
        <v>262.0</v>
      </c>
    </row>
    <row r="109" ht="15.75" customHeight="1">
      <c r="A109" s="4">
        <v>263.0</v>
      </c>
      <c r="B109" s="3" t="s">
        <v>360</v>
      </c>
      <c r="C109" s="3" t="s">
        <v>361</v>
      </c>
      <c r="D109" s="3"/>
      <c r="E109" s="3"/>
      <c r="F109" s="3" t="s">
        <v>106</v>
      </c>
      <c r="G109" s="3" t="s">
        <v>50</v>
      </c>
      <c r="H109" s="6" t="s">
        <v>107</v>
      </c>
      <c r="I109" s="3" t="s">
        <v>108</v>
      </c>
      <c r="K109" s="3" t="s">
        <v>273</v>
      </c>
      <c r="L109" s="3" t="s">
        <v>50</v>
      </c>
      <c r="M109" s="6" t="s">
        <v>274</v>
      </c>
      <c r="N109" s="3" t="s">
        <v>275</v>
      </c>
      <c r="U109" s="3" t="s">
        <v>67</v>
      </c>
      <c r="V109" s="3" t="s">
        <v>362</v>
      </c>
      <c r="W109" s="3">
        <v>150.0</v>
      </c>
      <c r="Y109" s="3" t="s">
        <v>58</v>
      </c>
      <c r="Z109" s="3">
        <v>0.0</v>
      </c>
      <c r="AA109" s="3">
        <v>1.0</v>
      </c>
      <c r="AE109" s="3">
        <v>0.034</v>
      </c>
      <c r="AN109" s="3">
        <v>1.0</v>
      </c>
      <c r="AP109" s="3" t="s">
        <v>360</v>
      </c>
      <c r="AR109" s="3">
        <v>263.0</v>
      </c>
    </row>
    <row r="110" ht="15.75" customHeight="1">
      <c r="A110" s="4">
        <v>266.0</v>
      </c>
      <c r="B110" s="3" t="s">
        <v>363</v>
      </c>
      <c r="C110" s="3" t="s">
        <v>364</v>
      </c>
      <c r="D110" s="2"/>
      <c r="E110" s="2" t="b">
        <v>1</v>
      </c>
      <c r="F110" s="3" t="s">
        <v>135</v>
      </c>
      <c r="G110" s="3" t="s">
        <v>50</v>
      </c>
      <c r="H110" s="8" t="s">
        <v>62</v>
      </c>
      <c r="I110" s="3" t="s">
        <v>136</v>
      </c>
      <c r="K110" s="3" t="s">
        <v>314</v>
      </c>
      <c r="L110" s="3" t="s">
        <v>50</v>
      </c>
      <c r="M110" s="6" t="s">
        <v>315</v>
      </c>
      <c r="N110" s="3" t="s">
        <v>316</v>
      </c>
      <c r="P110" s="3"/>
      <c r="Q110" s="3"/>
      <c r="R110" s="3">
        <v>120000.0</v>
      </c>
      <c r="S110" s="3">
        <v>100000.0</v>
      </c>
      <c r="T110" s="3" t="s">
        <v>167</v>
      </c>
      <c r="U110" s="3" t="s">
        <v>67</v>
      </c>
      <c r="V110" s="3" t="s">
        <v>170</v>
      </c>
      <c r="W110" s="3">
        <v>473.0</v>
      </c>
      <c r="Y110" s="3" t="s">
        <v>87</v>
      </c>
      <c r="Z110" s="3">
        <v>0.0</v>
      </c>
      <c r="AA110" s="3">
        <v>1.0</v>
      </c>
      <c r="AE110" s="3">
        <v>-0.07</v>
      </c>
      <c r="AN110" s="3">
        <v>1.0</v>
      </c>
      <c r="AP110" s="3" t="s">
        <v>363</v>
      </c>
      <c r="AR110" s="3">
        <v>266.0</v>
      </c>
    </row>
    <row r="111" ht="15.75" customHeight="1">
      <c r="A111" s="4">
        <v>267.0</v>
      </c>
      <c r="B111" s="3" t="s">
        <v>365</v>
      </c>
      <c r="C111" s="3" t="s">
        <v>366</v>
      </c>
      <c r="D111" s="2"/>
      <c r="E111" s="2" t="b">
        <v>0</v>
      </c>
      <c r="F111" s="3" t="s">
        <v>124</v>
      </c>
      <c r="G111" s="3" t="s">
        <v>50</v>
      </c>
      <c r="H111" s="8" t="s">
        <v>255</v>
      </c>
      <c r="I111" s="3" t="s">
        <v>126</v>
      </c>
      <c r="K111" s="3" t="s">
        <v>106</v>
      </c>
      <c r="L111" s="3" t="s">
        <v>50</v>
      </c>
      <c r="M111" s="6" t="s">
        <v>107</v>
      </c>
      <c r="N111" s="3" t="s">
        <v>108</v>
      </c>
      <c r="U111" s="3" t="s">
        <v>56</v>
      </c>
      <c r="V111" s="3" t="s">
        <v>144</v>
      </c>
      <c r="Z111" s="3">
        <v>0.0</v>
      </c>
      <c r="AA111" s="3">
        <v>1.0</v>
      </c>
      <c r="AH111" s="3">
        <v>27.9</v>
      </c>
      <c r="AJ111" s="3">
        <v>-0.0258</v>
      </c>
      <c r="AN111" s="3">
        <v>1.0</v>
      </c>
      <c r="AP111" s="3" t="s">
        <v>365</v>
      </c>
      <c r="AR111" s="3">
        <v>267.0</v>
      </c>
    </row>
    <row r="112" ht="15.75" customHeight="1">
      <c r="A112" s="4">
        <v>268.0</v>
      </c>
      <c r="B112" s="3" t="s">
        <v>365</v>
      </c>
      <c r="C112" s="3" t="s">
        <v>366</v>
      </c>
      <c r="D112" s="2"/>
      <c r="E112" s="2" t="b">
        <v>0</v>
      </c>
      <c r="F112" s="3" t="s">
        <v>164</v>
      </c>
      <c r="G112" s="3" t="s">
        <v>50</v>
      </c>
      <c r="H112" s="6" t="s">
        <v>165</v>
      </c>
      <c r="I112" s="3" t="s">
        <v>166</v>
      </c>
      <c r="K112" s="3" t="s">
        <v>106</v>
      </c>
      <c r="L112" s="3" t="s">
        <v>50</v>
      </c>
      <c r="M112" s="6" t="s">
        <v>107</v>
      </c>
      <c r="N112" s="3" t="s">
        <v>108</v>
      </c>
      <c r="U112" s="3" t="s">
        <v>56</v>
      </c>
      <c r="V112" s="3" t="s">
        <v>144</v>
      </c>
      <c r="Z112" s="3">
        <v>0.0</v>
      </c>
      <c r="AA112" s="3">
        <v>1.0</v>
      </c>
      <c r="AH112" s="3">
        <v>8.0</v>
      </c>
      <c r="AJ112" s="3">
        <v>0.05</v>
      </c>
      <c r="AN112" s="3">
        <v>1.0</v>
      </c>
      <c r="AP112" s="3" t="s">
        <v>365</v>
      </c>
      <c r="AR112" s="3">
        <v>268.0</v>
      </c>
    </row>
    <row r="113" ht="15.75" customHeight="1">
      <c r="A113" s="4">
        <v>270.0</v>
      </c>
      <c r="B113" s="3" t="s">
        <v>367</v>
      </c>
      <c r="C113" s="3" t="s">
        <v>366</v>
      </c>
      <c r="D113" s="3"/>
      <c r="E113" s="3"/>
      <c r="F113" s="3" t="s">
        <v>124</v>
      </c>
      <c r="G113" s="3" t="s">
        <v>50</v>
      </c>
      <c r="H113" s="8" t="s">
        <v>255</v>
      </c>
      <c r="I113" s="3" t="s">
        <v>126</v>
      </c>
      <c r="K113" s="3" t="s">
        <v>135</v>
      </c>
      <c r="L113" s="3" t="s">
        <v>50</v>
      </c>
      <c r="M113" s="8" t="s">
        <v>62</v>
      </c>
      <c r="N113" s="3" t="s">
        <v>136</v>
      </c>
      <c r="U113" s="3" t="s">
        <v>67</v>
      </c>
      <c r="V113" s="3" t="s">
        <v>368</v>
      </c>
      <c r="W113" s="9">
        <v>22.0</v>
      </c>
      <c r="Y113" s="3" t="s">
        <v>58</v>
      </c>
      <c r="Z113" s="3">
        <v>0.0</v>
      </c>
      <c r="AA113" s="3">
        <v>1.0</v>
      </c>
      <c r="AE113" s="3">
        <v>0.077</v>
      </c>
      <c r="AN113" s="3">
        <v>1.0</v>
      </c>
      <c r="AP113" s="3" t="s">
        <v>367</v>
      </c>
      <c r="AR113" s="3">
        <v>270.0</v>
      </c>
      <c r="AT113" s="3" t="s">
        <v>369</v>
      </c>
    </row>
    <row r="114" ht="15.75" customHeight="1">
      <c r="A114" s="4">
        <v>271.0</v>
      </c>
      <c r="C114" s="3" t="s">
        <v>370</v>
      </c>
      <c r="D114" s="3"/>
      <c r="E114" s="3"/>
      <c r="F114" s="3" t="s">
        <v>95</v>
      </c>
      <c r="G114" s="3" t="s">
        <v>50</v>
      </c>
      <c r="H114" s="6" t="s">
        <v>96</v>
      </c>
      <c r="I114" s="3" t="s">
        <v>97</v>
      </c>
      <c r="K114" s="21" t="s">
        <v>371</v>
      </c>
      <c r="L114" s="3" t="s">
        <v>65</v>
      </c>
      <c r="M114" s="4"/>
      <c r="N114" s="3" t="s">
        <v>372</v>
      </c>
      <c r="P114" s="3"/>
      <c r="Q114" s="3"/>
      <c r="R114" s="3">
        <v>50000.0</v>
      </c>
      <c r="T114" s="3" t="s">
        <v>167</v>
      </c>
      <c r="U114" s="3" t="s">
        <v>67</v>
      </c>
      <c r="V114" s="3" t="s">
        <v>113</v>
      </c>
      <c r="Z114" s="3">
        <v>0.0</v>
      </c>
      <c r="AA114" s="3">
        <v>1.0</v>
      </c>
      <c r="AB114" s="3">
        <v>3.0</v>
      </c>
      <c r="AE114" s="3">
        <v>0.86</v>
      </c>
      <c r="AG114" s="3">
        <v>0.09</v>
      </c>
      <c r="AN114" s="3">
        <v>0.0</v>
      </c>
      <c r="AR114" s="3">
        <v>271.0</v>
      </c>
    </row>
    <row r="115" ht="15.75" customHeight="1">
      <c r="A115" s="4">
        <v>278.0</v>
      </c>
      <c r="C115" s="3" t="s">
        <v>373</v>
      </c>
      <c r="D115" s="3"/>
      <c r="E115" s="3"/>
      <c r="F115" s="3" t="s">
        <v>374</v>
      </c>
      <c r="G115" s="3" t="s">
        <v>71</v>
      </c>
      <c r="H115" s="4"/>
      <c r="I115" s="3" t="s">
        <v>375</v>
      </c>
      <c r="J115" s="3">
        <v>1.0</v>
      </c>
      <c r="K115" s="3" t="s">
        <v>376</v>
      </c>
      <c r="L115" s="3" t="s">
        <v>50</v>
      </c>
      <c r="M115" s="6" t="s">
        <v>377</v>
      </c>
      <c r="N115" s="3" t="s">
        <v>378</v>
      </c>
      <c r="O115" s="3">
        <v>0.0</v>
      </c>
      <c r="U115" s="3" t="s">
        <v>379</v>
      </c>
      <c r="V115" s="3" t="s">
        <v>380</v>
      </c>
      <c r="Z115" s="3">
        <v>0.0</v>
      </c>
      <c r="AA115" s="3">
        <v>0.0</v>
      </c>
      <c r="AC115" s="3">
        <v>2.0</v>
      </c>
      <c r="AH115" s="3">
        <v>29.0</v>
      </c>
      <c r="AJ115" s="3">
        <v>-0.092</v>
      </c>
      <c r="AL115" s="3">
        <v>7.7E-5</v>
      </c>
      <c r="AN115" s="3">
        <v>0.0</v>
      </c>
      <c r="AR115" s="3">
        <v>278.0</v>
      </c>
    </row>
    <row r="116" ht="15.75" customHeight="1">
      <c r="A116" s="4">
        <v>279.0</v>
      </c>
      <c r="C116" s="3" t="s">
        <v>373</v>
      </c>
      <c r="D116" s="3"/>
      <c r="E116" s="3"/>
      <c r="F116" s="3" t="s">
        <v>381</v>
      </c>
      <c r="G116" s="3" t="s">
        <v>71</v>
      </c>
      <c r="H116" s="4"/>
      <c r="I116" s="3" t="s">
        <v>382</v>
      </c>
      <c r="J116" s="3">
        <v>1.0</v>
      </c>
      <c r="K116" s="3" t="s">
        <v>376</v>
      </c>
      <c r="L116" s="3" t="s">
        <v>50</v>
      </c>
      <c r="M116" s="6" t="s">
        <v>377</v>
      </c>
      <c r="N116" s="3" t="s">
        <v>378</v>
      </c>
      <c r="O116" s="3">
        <v>0.0</v>
      </c>
      <c r="U116" s="3" t="s">
        <v>379</v>
      </c>
      <c r="V116" s="3" t="s">
        <v>380</v>
      </c>
      <c r="Z116" s="3">
        <v>0.0</v>
      </c>
      <c r="AA116" s="3">
        <v>0.0</v>
      </c>
      <c r="AC116" s="3">
        <v>2.0</v>
      </c>
      <c r="AH116" s="3">
        <v>56.5</v>
      </c>
      <c r="AJ116" s="3">
        <v>-0.201</v>
      </c>
      <c r="AL116" s="3">
        <v>1.86E-4</v>
      </c>
      <c r="AN116" s="3">
        <v>0.0</v>
      </c>
      <c r="AR116" s="3">
        <v>279.0</v>
      </c>
    </row>
    <row r="117" ht="15.75" customHeight="1">
      <c r="A117" s="4">
        <v>280.0</v>
      </c>
      <c r="C117" s="3" t="s">
        <v>373</v>
      </c>
      <c r="D117" s="3"/>
      <c r="E117" s="3"/>
      <c r="F117" s="3" t="s">
        <v>383</v>
      </c>
      <c r="G117" s="3" t="s">
        <v>71</v>
      </c>
      <c r="J117" s="3">
        <v>1.0</v>
      </c>
      <c r="K117" s="3" t="s">
        <v>376</v>
      </c>
      <c r="L117" s="3" t="s">
        <v>50</v>
      </c>
      <c r="M117" s="6" t="s">
        <v>377</v>
      </c>
      <c r="N117" s="3" t="s">
        <v>378</v>
      </c>
      <c r="O117" s="3">
        <v>0.0</v>
      </c>
      <c r="S117" s="3">
        <v>100000.0</v>
      </c>
      <c r="T117" s="3" t="s">
        <v>167</v>
      </c>
      <c r="U117" s="3" t="s">
        <v>379</v>
      </c>
      <c r="V117" s="3" t="s">
        <v>380</v>
      </c>
      <c r="Z117" s="3">
        <v>0.0</v>
      </c>
      <c r="AA117" s="3">
        <v>0.0</v>
      </c>
      <c r="AC117" s="3">
        <v>2.0</v>
      </c>
      <c r="AH117" s="3">
        <v>60.9</v>
      </c>
      <c r="AJ117" s="3">
        <v>-0.212</v>
      </c>
      <c r="AL117" s="3">
        <v>1.92E-4</v>
      </c>
      <c r="AN117" s="3">
        <v>0.0</v>
      </c>
      <c r="AR117" s="3">
        <v>280.0</v>
      </c>
    </row>
    <row r="118" ht="15.75" customHeight="1">
      <c r="A118" s="4">
        <v>281.0</v>
      </c>
      <c r="C118" s="3" t="s">
        <v>373</v>
      </c>
      <c r="D118" s="3"/>
      <c r="E118" s="3"/>
      <c r="F118" s="3" t="s">
        <v>384</v>
      </c>
      <c r="G118" s="3" t="s">
        <v>71</v>
      </c>
      <c r="J118" s="3">
        <v>1.0</v>
      </c>
      <c r="K118" s="3" t="s">
        <v>376</v>
      </c>
      <c r="L118" s="3" t="s">
        <v>50</v>
      </c>
      <c r="M118" s="6" t="s">
        <v>377</v>
      </c>
      <c r="N118" s="3" t="s">
        <v>378</v>
      </c>
      <c r="O118" s="3">
        <v>0.0</v>
      </c>
      <c r="S118" s="3">
        <v>100000.0</v>
      </c>
      <c r="T118" s="3" t="s">
        <v>167</v>
      </c>
      <c r="U118" s="3" t="s">
        <v>379</v>
      </c>
      <c r="V118" s="3" t="s">
        <v>380</v>
      </c>
      <c r="Z118" s="3">
        <v>0.0</v>
      </c>
      <c r="AA118" s="3">
        <v>0.0</v>
      </c>
      <c r="AC118" s="3">
        <v>2.0</v>
      </c>
      <c r="AH118" s="3">
        <v>54.6</v>
      </c>
      <c r="AJ118" s="3">
        <v>-0.186</v>
      </c>
      <c r="AL118" s="3">
        <v>1.65E-4</v>
      </c>
      <c r="AN118" s="3">
        <v>0.0</v>
      </c>
      <c r="AR118" s="3">
        <v>281.0</v>
      </c>
    </row>
    <row r="119" ht="15.75" customHeight="1">
      <c r="A119" s="4">
        <v>283.0</v>
      </c>
      <c r="B119" s="3" t="s">
        <v>385</v>
      </c>
      <c r="C119" s="3" t="s">
        <v>361</v>
      </c>
      <c r="D119" s="3"/>
      <c r="E119" s="3"/>
      <c r="F119" s="3" t="s">
        <v>106</v>
      </c>
      <c r="G119" s="3" t="s">
        <v>50</v>
      </c>
      <c r="H119" s="6" t="s">
        <v>107</v>
      </c>
      <c r="I119" s="3" t="s">
        <v>108</v>
      </c>
      <c r="K119" s="3" t="s">
        <v>273</v>
      </c>
      <c r="L119" s="3" t="s">
        <v>50</v>
      </c>
      <c r="M119" s="6" t="s">
        <v>274</v>
      </c>
      <c r="N119" s="3" t="s">
        <v>275</v>
      </c>
      <c r="U119" s="3" t="s">
        <v>67</v>
      </c>
      <c r="V119" s="3" t="s">
        <v>113</v>
      </c>
      <c r="W119" s="3">
        <v>230.0</v>
      </c>
      <c r="Y119" s="3" t="s">
        <v>58</v>
      </c>
      <c r="Z119" s="3">
        <v>0.0</v>
      </c>
      <c r="AA119" s="3">
        <v>1.0</v>
      </c>
      <c r="AE119" s="3">
        <v>0.087</v>
      </c>
      <c r="AN119" s="3">
        <v>1.0</v>
      </c>
      <c r="AP119" s="3" t="s">
        <v>385</v>
      </c>
      <c r="AR119" s="3">
        <v>283.0</v>
      </c>
    </row>
    <row r="120" ht="15.75" customHeight="1">
      <c r="A120" s="4">
        <v>284.0</v>
      </c>
      <c r="B120" s="3" t="s">
        <v>386</v>
      </c>
      <c r="C120" s="3" t="s">
        <v>387</v>
      </c>
      <c r="D120" s="3"/>
      <c r="E120" s="3"/>
      <c r="F120" s="3" t="s">
        <v>154</v>
      </c>
      <c r="G120" s="3" t="s">
        <v>71</v>
      </c>
      <c r="K120" s="3" t="s">
        <v>388</v>
      </c>
      <c r="L120" s="3" t="s">
        <v>50</v>
      </c>
      <c r="M120" s="6" t="s">
        <v>389</v>
      </c>
      <c r="N120" s="3" t="s">
        <v>390</v>
      </c>
      <c r="S120" s="3">
        <v>11800.0</v>
      </c>
      <c r="T120" s="3" t="s">
        <v>167</v>
      </c>
      <c r="U120" s="3" t="s">
        <v>67</v>
      </c>
      <c r="V120" s="3" t="s">
        <v>391</v>
      </c>
      <c r="Z120" s="3">
        <v>0.0</v>
      </c>
      <c r="AA120" s="3">
        <v>0.0</v>
      </c>
      <c r="AC120" s="3">
        <v>1.0</v>
      </c>
      <c r="AE120" s="3">
        <v>0.505</v>
      </c>
      <c r="AN120" s="3">
        <v>1.0</v>
      </c>
      <c r="AP120" s="3" t="s">
        <v>386</v>
      </c>
      <c r="AR120" s="3">
        <v>284.0</v>
      </c>
    </row>
    <row r="121" ht="15.75" customHeight="1">
      <c r="A121" s="4">
        <v>285.0</v>
      </c>
      <c r="B121" s="3" t="s">
        <v>386</v>
      </c>
      <c r="C121" s="3" t="s">
        <v>387</v>
      </c>
      <c r="D121" s="3"/>
      <c r="E121" s="3"/>
      <c r="F121" s="3" t="s">
        <v>154</v>
      </c>
      <c r="G121" s="3" t="s">
        <v>71</v>
      </c>
      <c r="K121" s="21" t="s">
        <v>371</v>
      </c>
      <c r="L121" s="3" t="s">
        <v>65</v>
      </c>
      <c r="M121" s="4"/>
      <c r="N121" s="3" t="s">
        <v>372</v>
      </c>
      <c r="U121" s="3" t="s">
        <v>67</v>
      </c>
      <c r="V121" s="3" t="s">
        <v>391</v>
      </c>
      <c r="Z121" s="3">
        <v>0.0</v>
      </c>
      <c r="AA121" s="3">
        <v>0.0</v>
      </c>
      <c r="AC121" s="3">
        <v>1.0</v>
      </c>
      <c r="AE121" s="3">
        <v>0.885</v>
      </c>
      <c r="AN121" s="3">
        <v>1.0</v>
      </c>
      <c r="AP121" s="3" t="s">
        <v>386</v>
      </c>
      <c r="AR121" s="3">
        <v>285.0</v>
      </c>
    </row>
    <row r="122" ht="15.75" customHeight="1">
      <c r="A122" s="4">
        <v>287.0</v>
      </c>
      <c r="B122" s="3" t="s">
        <v>386</v>
      </c>
      <c r="C122" s="3" t="s">
        <v>387</v>
      </c>
      <c r="D122" s="3"/>
      <c r="E122" s="3"/>
      <c r="F122" s="3" t="s">
        <v>388</v>
      </c>
      <c r="G122" s="3" t="s">
        <v>50</v>
      </c>
      <c r="H122" s="6" t="s">
        <v>389</v>
      </c>
      <c r="I122" s="3" t="s">
        <v>390</v>
      </c>
      <c r="K122" s="24" t="s">
        <v>371</v>
      </c>
      <c r="L122" s="3" t="s">
        <v>65</v>
      </c>
      <c r="M122" s="4"/>
      <c r="N122" s="3" t="s">
        <v>372</v>
      </c>
      <c r="U122" s="3" t="s">
        <v>67</v>
      </c>
      <c r="V122" s="3" t="s">
        <v>391</v>
      </c>
      <c r="Z122" s="3">
        <v>0.0</v>
      </c>
      <c r="AA122" s="3">
        <v>0.0</v>
      </c>
      <c r="AC122" s="3">
        <v>1.0</v>
      </c>
      <c r="AE122" s="3">
        <v>0.45</v>
      </c>
      <c r="AF122" s="3">
        <v>0.479</v>
      </c>
      <c r="AN122" s="3">
        <v>1.0</v>
      </c>
      <c r="AP122" s="3" t="s">
        <v>386</v>
      </c>
      <c r="AR122" s="3">
        <v>287.0</v>
      </c>
    </row>
    <row r="123" ht="15.75" customHeight="1">
      <c r="A123" s="4">
        <v>288.0</v>
      </c>
      <c r="B123" s="3" t="s">
        <v>392</v>
      </c>
      <c r="C123" s="3" t="s">
        <v>387</v>
      </c>
      <c r="D123" s="2"/>
      <c r="E123" s="2" t="b">
        <v>1</v>
      </c>
      <c r="F123" s="3" t="s">
        <v>154</v>
      </c>
      <c r="G123" s="3" t="s">
        <v>71</v>
      </c>
      <c r="K123" s="3" t="s">
        <v>393</v>
      </c>
      <c r="L123" s="3" t="s">
        <v>65</v>
      </c>
      <c r="M123" s="4"/>
      <c r="N123" s="3" t="s">
        <v>394</v>
      </c>
      <c r="U123" s="3" t="s">
        <v>67</v>
      </c>
      <c r="V123" s="3" t="s">
        <v>68</v>
      </c>
      <c r="Z123" s="3">
        <v>0.0</v>
      </c>
      <c r="AA123" s="3">
        <v>0.0</v>
      </c>
      <c r="AC123" s="3">
        <v>2.0</v>
      </c>
      <c r="AD123" s="3">
        <v>9.0</v>
      </c>
      <c r="AE123" s="3">
        <v>3.4</v>
      </c>
      <c r="AN123" s="3">
        <v>1.0</v>
      </c>
      <c r="AP123" s="3" t="s">
        <v>392</v>
      </c>
      <c r="AQ123" s="3" t="s">
        <v>395</v>
      </c>
      <c r="AR123" s="3">
        <v>288.0</v>
      </c>
      <c r="AS123" s="3">
        <v>125.0</v>
      </c>
      <c r="AT123" s="3" t="s">
        <v>59</v>
      </c>
    </row>
    <row r="124" ht="15.75" customHeight="1">
      <c r="A124" s="4">
        <v>289.0</v>
      </c>
      <c r="B124" s="3" t="s">
        <v>386</v>
      </c>
      <c r="C124" s="3" t="s">
        <v>387</v>
      </c>
      <c r="D124" s="2"/>
      <c r="E124" s="2" t="b">
        <v>1</v>
      </c>
      <c r="F124" s="3" t="s">
        <v>388</v>
      </c>
      <c r="G124" s="3" t="s">
        <v>50</v>
      </c>
      <c r="H124" s="6" t="s">
        <v>389</v>
      </c>
      <c r="I124" s="3" t="s">
        <v>390</v>
      </c>
      <c r="K124" s="3" t="s">
        <v>393</v>
      </c>
      <c r="L124" s="3" t="s">
        <v>65</v>
      </c>
      <c r="M124" s="4"/>
      <c r="N124" s="3" t="s">
        <v>394</v>
      </c>
      <c r="P124" s="3"/>
      <c r="Q124" s="3"/>
      <c r="R124" s="3">
        <v>11800.0</v>
      </c>
      <c r="T124" s="3" t="s">
        <v>167</v>
      </c>
      <c r="U124" s="3" t="s">
        <v>67</v>
      </c>
      <c r="V124" s="3" t="s">
        <v>68</v>
      </c>
      <c r="Z124" s="3">
        <v>0.0</v>
      </c>
      <c r="AA124" s="3">
        <v>0.0</v>
      </c>
      <c r="AC124" s="3">
        <v>2.0</v>
      </c>
      <c r="AD124" s="3">
        <v>9.0</v>
      </c>
      <c r="AE124" s="3">
        <v>3.7</v>
      </c>
      <c r="AN124" s="3">
        <v>1.0</v>
      </c>
      <c r="AP124" s="3" t="s">
        <v>386</v>
      </c>
      <c r="AQ124" s="3" t="s">
        <v>395</v>
      </c>
      <c r="AR124" s="3">
        <v>289.0</v>
      </c>
      <c r="AS124" s="3">
        <v>125.0</v>
      </c>
      <c r="AT124" s="3" t="s">
        <v>59</v>
      </c>
    </row>
    <row r="125" ht="15.75" customHeight="1">
      <c r="A125" s="4">
        <v>290.0</v>
      </c>
      <c r="B125" s="3" t="s">
        <v>386</v>
      </c>
      <c r="C125" s="3" t="s">
        <v>387</v>
      </c>
      <c r="D125" s="2"/>
      <c r="E125" s="2" t="b">
        <v>1</v>
      </c>
      <c r="F125" s="21" t="s">
        <v>371</v>
      </c>
      <c r="G125" s="3" t="s">
        <v>65</v>
      </c>
      <c r="H125" s="4"/>
      <c r="I125" s="3" t="s">
        <v>372</v>
      </c>
      <c r="K125" s="3" t="s">
        <v>393</v>
      </c>
      <c r="L125" s="3" t="s">
        <v>65</v>
      </c>
      <c r="M125" s="4"/>
      <c r="N125" s="3" t="s">
        <v>394</v>
      </c>
      <c r="U125" s="3" t="s">
        <v>67</v>
      </c>
      <c r="V125" s="3" t="s">
        <v>68</v>
      </c>
      <c r="Z125" s="3">
        <v>0.0</v>
      </c>
      <c r="AA125" s="3">
        <v>0.0</v>
      </c>
      <c r="AC125" s="3">
        <v>2.0</v>
      </c>
      <c r="AD125" s="3">
        <v>9.0</v>
      </c>
      <c r="AE125" s="3">
        <v>1.9</v>
      </c>
      <c r="AN125" s="3">
        <v>1.0</v>
      </c>
      <c r="AP125" s="3" t="s">
        <v>386</v>
      </c>
      <c r="AQ125" s="3" t="s">
        <v>395</v>
      </c>
      <c r="AR125" s="3">
        <v>290.0</v>
      </c>
      <c r="AS125" s="3">
        <v>125.0</v>
      </c>
      <c r="AT125" s="3" t="s">
        <v>59</v>
      </c>
    </row>
    <row r="126" ht="15.75" customHeight="1">
      <c r="A126" s="4">
        <v>294.0</v>
      </c>
      <c r="C126" s="3" t="s">
        <v>396</v>
      </c>
      <c r="D126" s="2"/>
      <c r="E126" s="2" t="b">
        <v>1</v>
      </c>
      <c r="F126" s="3" t="s">
        <v>146</v>
      </c>
      <c r="G126" s="3" t="s">
        <v>50</v>
      </c>
      <c r="H126" s="6" t="s">
        <v>147</v>
      </c>
      <c r="I126" s="3" t="s">
        <v>148</v>
      </c>
      <c r="K126" s="3" t="s">
        <v>356</v>
      </c>
      <c r="L126" s="3" t="s">
        <v>71</v>
      </c>
      <c r="M126" s="4"/>
      <c r="U126" s="3" t="s">
        <v>67</v>
      </c>
      <c r="V126" s="3" t="s">
        <v>68</v>
      </c>
      <c r="W126" s="3">
        <v>25.0</v>
      </c>
      <c r="Y126" s="3" t="s">
        <v>58</v>
      </c>
      <c r="Z126" s="3">
        <v>0.0</v>
      </c>
      <c r="AA126" s="3">
        <v>0.0</v>
      </c>
      <c r="AC126" s="3">
        <v>2.0</v>
      </c>
      <c r="AE126" s="3">
        <v>1.057</v>
      </c>
      <c r="AN126" s="3">
        <v>0.0</v>
      </c>
      <c r="AR126" s="3">
        <v>294.0</v>
      </c>
    </row>
    <row r="127" ht="15.75" customHeight="1">
      <c r="A127" s="4">
        <v>295.0</v>
      </c>
      <c r="C127" s="3" t="s">
        <v>396</v>
      </c>
      <c r="D127" s="2"/>
      <c r="E127" s="2" t="b">
        <v>1</v>
      </c>
      <c r="F127" s="3" t="s">
        <v>146</v>
      </c>
      <c r="G127" s="3" t="s">
        <v>50</v>
      </c>
      <c r="H127" s="6" t="s">
        <v>147</v>
      </c>
      <c r="I127" s="3" t="s">
        <v>148</v>
      </c>
      <c r="K127" s="3" t="s">
        <v>397</v>
      </c>
      <c r="L127" s="3" t="s">
        <v>71</v>
      </c>
      <c r="M127" s="4"/>
      <c r="U127" s="3" t="s">
        <v>67</v>
      </c>
      <c r="V127" s="3" t="s">
        <v>68</v>
      </c>
      <c r="W127" s="3">
        <v>25.0</v>
      </c>
      <c r="Y127" s="3" t="s">
        <v>58</v>
      </c>
      <c r="Z127" s="3">
        <v>0.0</v>
      </c>
      <c r="AA127" s="3">
        <v>0.0</v>
      </c>
      <c r="AC127" s="3">
        <v>2.0</v>
      </c>
      <c r="AE127" s="3">
        <v>0.34</v>
      </c>
      <c r="AN127" s="3">
        <v>0.0</v>
      </c>
      <c r="AR127" s="3">
        <v>295.0</v>
      </c>
    </row>
    <row r="128" ht="15.75" customHeight="1">
      <c r="A128" s="4">
        <v>296.0</v>
      </c>
      <c r="C128" s="3" t="s">
        <v>396</v>
      </c>
      <c r="D128" s="2"/>
      <c r="E128" s="2" t="b">
        <v>1</v>
      </c>
      <c r="F128" s="3" t="s">
        <v>146</v>
      </c>
      <c r="G128" s="3" t="s">
        <v>50</v>
      </c>
      <c r="H128" s="6" t="s">
        <v>147</v>
      </c>
      <c r="I128" s="3" t="s">
        <v>148</v>
      </c>
      <c r="K128" s="3" t="s">
        <v>74</v>
      </c>
      <c r="L128" s="3" t="s">
        <v>71</v>
      </c>
      <c r="M128" s="4"/>
      <c r="N128" s="3" t="s">
        <v>75</v>
      </c>
      <c r="U128" s="3" t="s">
        <v>67</v>
      </c>
      <c r="V128" s="3" t="s">
        <v>68</v>
      </c>
      <c r="W128" s="3">
        <v>25.0</v>
      </c>
      <c r="Y128" s="3" t="s">
        <v>58</v>
      </c>
      <c r="Z128" s="3">
        <v>0.0</v>
      </c>
      <c r="AA128" s="3">
        <v>0.0</v>
      </c>
      <c r="AC128" s="3">
        <v>2.0</v>
      </c>
      <c r="AE128" s="3">
        <v>4.333</v>
      </c>
      <c r="AN128" s="3">
        <v>0.0</v>
      </c>
      <c r="AR128" s="3">
        <v>296.0</v>
      </c>
    </row>
    <row r="129" ht="15.75" customHeight="1">
      <c r="A129" s="4">
        <v>297.0</v>
      </c>
      <c r="C129" s="3" t="s">
        <v>396</v>
      </c>
      <c r="D129" s="2"/>
      <c r="E129" s="2" t="b">
        <v>1</v>
      </c>
      <c r="F129" s="3" t="s">
        <v>273</v>
      </c>
      <c r="G129" s="3" t="s">
        <v>50</v>
      </c>
      <c r="H129" s="6" t="s">
        <v>274</v>
      </c>
      <c r="I129" s="3" t="s">
        <v>275</v>
      </c>
      <c r="K129" s="3" t="s">
        <v>356</v>
      </c>
      <c r="L129" s="3" t="s">
        <v>71</v>
      </c>
      <c r="M129" s="4"/>
      <c r="U129" s="3" t="s">
        <v>67</v>
      </c>
      <c r="V129" s="3" t="s">
        <v>68</v>
      </c>
      <c r="W129" s="3">
        <v>25.0</v>
      </c>
      <c r="Y129" s="3" t="s">
        <v>58</v>
      </c>
      <c r="Z129" s="3">
        <v>0.0</v>
      </c>
      <c r="AA129" s="3">
        <v>0.0</v>
      </c>
      <c r="AC129" s="3">
        <v>2.0</v>
      </c>
      <c r="AE129" s="3">
        <v>0.49</v>
      </c>
      <c r="AN129" s="3">
        <v>0.0</v>
      </c>
      <c r="AR129" s="3">
        <v>297.0</v>
      </c>
    </row>
    <row r="130" ht="15.75" customHeight="1">
      <c r="A130" s="4">
        <v>298.0</v>
      </c>
      <c r="C130" s="3" t="s">
        <v>396</v>
      </c>
      <c r="D130" s="2"/>
      <c r="E130" s="2" t="b">
        <v>1</v>
      </c>
      <c r="F130" s="3" t="s">
        <v>273</v>
      </c>
      <c r="G130" s="3" t="s">
        <v>50</v>
      </c>
      <c r="H130" s="6" t="s">
        <v>274</v>
      </c>
      <c r="I130" s="3" t="s">
        <v>275</v>
      </c>
      <c r="K130" s="3" t="s">
        <v>397</v>
      </c>
      <c r="L130" s="3" t="s">
        <v>71</v>
      </c>
      <c r="M130" s="4"/>
      <c r="U130" s="3" t="s">
        <v>67</v>
      </c>
      <c r="V130" s="3" t="s">
        <v>68</v>
      </c>
      <c r="W130" s="3">
        <v>25.0</v>
      </c>
      <c r="Y130" s="3" t="s">
        <v>58</v>
      </c>
      <c r="Z130" s="3">
        <v>0.0</v>
      </c>
      <c r="AA130" s="3">
        <v>0.0</v>
      </c>
      <c r="AC130" s="3">
        <v>2.0</v>
      </c>
      <c r="AE130" s="3">
        <v>1.766</v>
      </c>
      <c r="AN130" s="3">
        <v>0.0</v>
      </c>
      <c r="AR130" s="3">
        <v>298.0</v>
      </c>
    </row>
    <row r="131" ht="15.75" customHeight="1">
      <c r="A131" s="4">
        <v>299.0</v>
      </c>
      <c r="C131" s="3" t="s">
        <v>396</v>
      </c>
      <c r="D131" s="2"/>
      <c r="E131" s="2" t="b">
        <v>1</v>
      </c>
      <c r="F131" s="3" t="s">
        <v>273</v>
      </c>
      <c r="G131" s="3" t="s">
        <v>50</v>
      </c>
      <c r="H131" s="6" t="s">
        <v>274</v>
      </c>
      <c r="I131" s="3" t="s">
        <v>275</v>
      </c>
      <c r="K131" s="3" t="s">
        <v>74</v>
      </c>
      <c r="L131" s="3" t="s">
        <v>71</v>
      </c>
      <c r="M131" s="4"/>
      <c r="N131" s="3" t="s">
        <v>75</v>
      </c>
      <c r="U131" s="3" t="s">
        <v>67</v>
      </c>
      <c r="V131" s="3" t="s">
        <v>68</v>
      </c>
      <c r="W131" s="3">
        <v>25.0</v>
      </c>
      <c r="Y131" s="3" t="s">
        <v>58</v>
      </c>
      <c r="Z131" s="3">
        <v>0.0</v>
      </c>
      <c r="AA131" s="3">
        <v>0.0</v>
      </c>
      <c r="AC131" s="3">
        <v>2.0</v>
      </c>
      <c r="AE131" s="3">
        <v>6.926</v>
      </c>
      <c r="AN131" s="3">
        <v>0.0</v>
      </c>
      <c r="AR131" s="3">
        <v>299.0</v>
      </c>
    </row>
    <row r="132" ht="15.75" customHeight="1">
      <c r="A132" s="4">
        <v>304.0</v>
      </c>
      <c r="C132" s="3" t="s">
        <v>396</v>
      </c>
      <c r="D132" s="2"/>
      <c r="E132" s="2" t="b">
        <v>1</v>
      </c>
      <c r="F132" s="3" t="s">
        <v>398</v>
      </c>
      <c r="G132" s="3" t="s">
        <v>50</v>
      </c>
      <c r="H132" s="6" t="s">
        <v>399</v>
      </c>
      <c r="I132" s="3" t="s">
        <v>400</v>
      </c>
      <c r="K132" s="3" t="s">
        <v>356</v>
      </c>
      <c r="L132" s="3" t="s">
        <v>71</v>
      </c>
      <c r="M132" s="4"/>
      <c r="U132" s="3" t="s">
        <v>67</v>
      </c>
      <c r="V132" s="3" t="s">
        <v>68</v>
      </c>
      <c r="W132" s="3">
        <v>25.0</v>
      </c>
      <c r="Y132" s="3" t="s">
        <v>58</v>
      </c>
      <c r="Z132" s="3">
        <v>0.0</v>
      </c>
      <c r="AA132" s="3">
        <v>0.0</v>
      </c>
      <c r="AC132" s="3">
        <v>2.0</v>
      </c>
      <c r="AE132" s="3">
        <v>0.542</v>
      </c>
      <c r="AN132" s="3">
        <v>0.0</v>
      </c>
      <c r="AR132" s="3">
        <v>304.0</v>
      </c>
    </row>
    <row r="133" ht="15.75" customHeight="1">
      <c r="A133" s="4">
        <v>305.0</v>
      </c>
      <c r="C133" s="3" t="s">
        <v>396</v>
      </c>
      <c r="D133" s="2"/>
      <c r="E133" s="2" t="b">
        <v>1</v>
      </c>
      <c r="F133" s="3" t="s">
        <v>398</v>
      </c>
      <c r="G133" s="3" t="s">
        <v>50</v>
      </c>
      <c r="H133" s="6" t="s">
        <v>399</v>
      </c>
      <c r="I133" s="3" t="s">
        <v>400</v>
      </c>
      <c r="K133" s="3" t="s">
        <v>397</v>
      </c>
      <c r="L133" s="3" t="s">
        <v>71</v>
      </c>
      <c r="M133" s="4"/>
      <c r="U133" s="3" t="s">
        <v>67</v>
      </c>
      <c r="V133" s="3" t="s">
        <v>68</v>
      </c>
      <c r="W133" s="3">
        <v>25.0</v>
      </c>
      <c r="Y133" s="3" t="s">
        <v>58</v>
      </c>
      <c r="Z133" s="3">
        <v>0.0</v>
      </c>
      <c r="AA133" s="3">
        <v>0.0</v>
      </c>
      <c r="AC133" s="3">
        <v>2.0</v>
      </c>
      <c r="AE133" s="3">
        <v>2.147</v>
      </c>
      <c r="AN133" s="3">
        <v>0.0</v>
      </c>
      <c r="AR133" s="3">
        <v>305.0</v>
      </c>
    </row>
    <row r="134" ht="15.75" customHeight="1">
      <c r="A134" s="4">
        <v>306.0</v>
      </c>
      <c r="C134" s="3" t="s">
        <v>396</v>
      </c>
      <c r="D134" s="2"/>
      <c r="E134" s="2" t="b">
        <v>1</v>
      </c>
      <c r="F134" s="3" t="s">
        <v>398</v>
      </c>
      <c r="G134" s="3" t="s">
        <v>50</v>
      </c>
      <c r="H134" s="6" t="s">
        <v>399</v>
      </c>
      <c r="I134" s="3" t="s">
        <v>400</v>
      </c>
      <c r="K134" s="3" t="s">
        <v>74</v>
      </c>
      <c r="L134" s="3" t="s">
        <v>71</v>
      </c>
      <c r="M134" s="4"/>
      <c r="N134" s="3" t="s">
        <v>75</v>
      </c>
      <c r="U134" s="3" t="s">
        <v>67</v>
      </c>
      <c r="V134" s="3" t="s">
        <v>68</v>
      </c>
      <c r="W134" s="3">
        <v>25.0</v>
      </c>
      <c r="Y134" s="3" t="s">
        <v>58</v>
      </c>
      <c r="Z134" s="3">
        <v>0.0</v>
      </c>
      <c r="AA134" s="3">
        <v>0.0</v>
      </c>
      <c r="AC134" s="3">
        <v>2.0</v>
      </c>
      <c r="AE134" s="3">
        <v>7.303</v>
      </c>
      <c r="AN134" s="3">
        <v>0.0</v>
      </c>
      <c r="AR134" s="3">
        <v>306.0</v>
      </c>
    </row>
    <row r="135" ht="15.75" customHeight="1">
      <c r="A135" s="4">
        <v>308.0</v>
      </c>
      <c r="B135" s="3" t="s">
        <v>401</v>
      </c>
      <c r="C135" s="3" t="s">
        <v>402</v>
      </c>
      <c r="D135" s="3"/>
      <c r="E135" s="3"/>
      <c r="F135" s="3" t="s">
        <v>106</v>
      </c>
      <c r="G135" s="3" t="s">
        <v>50</v>
      </c>
      <c r="H135" s="6" t="s">
        <v>107</v>
      </c>
      <c r="I135" s="3" t="s">
        <v>108</v>
      </c>
      <c r="K135" s="3" t="s">
        <v>76</v>
      </c>
      <c r="L135" s="3" t="s">
        <v>50</v>
      </c>
      <c r="M135" s="6" t="s">
        <v>77</v>
      </c>
      <c r="N135" s="3" t="s">
        <v>78</v>
      </c>
      <c r="U135" s="3" t="s">
        <v>67</v>
      </c>
      <c r="V135" s="3" t="s">
        <v>118</v>
      </c>
      <c r="Z135" s="3">
        <v>0.0</v>
      </c>
      <c r="AA135" s="3">
        <v>1.0</v>
      </c>
      <c r="AE135" s="3">
        <v>0.019</v>
      </c>
      <c r="AF135" s="3">
        <v>0.03</v>
      </c>
      <c r="AN135" s="3">
        <v>1.0</v>
      </c>
      <c r="AP135" s="3" t="s">
        <v>401</v>
      </c>
      <c r="AR135" s="3">
        <v>308.0</v>
      </c>
    </row>
    <row r="136" ht="15.75" customHeight="1">
      <c r="A136" s="4">
        <v>309.0</v>
      </c>
      <c r="B136" s="3" t="s">
        <v>403</v>
      </c>
      <c r="C136" s="3" t="s">
        <v>404</v>
      </c>
      <c r="D136" s="3"/>
      <c r="E136" s="3"/>
      <c r="F136" s="3" t="s">
        <v>106</v>
      </c>
      <c r="G136" s="3" t="s">
        <v>50</v>
      </c>
      <c r="H136" s="6" t="s">
        <v>107</v>
      </c>
      <c r="I136" s="3" t="s">
        <v>108</v>
      </c>
      <c r="K136" s="3" t="s">
        <v>146</v>
      </c>
      <c r="L136" s="3" t="s">
        <v>50</v>
      </c>
      <c r="M136" s="6" t="s">
        <v>147</v>
      </c>
      <c r="N136" s="3" t="s">
        <v>148</v>
      </c>
      <c r="U136" s="3" t="s">
        <v>67</v>
      </c>
      <c r="V136" s="3" t="s">
        <v>177</v>
      </c>
      <c r="Z136" s="3">
        <v>0.0</v>
      </c>
      <c r="AA136" s="3">
        <v>1.0</v>
      </c>
      <c r="AE136" s="3">
        <v>0.45</v>
      </c>
      <c r="AN136" s="3">
        <v>1.0</v>
      </c>
      <c r="AP136" s="3" t="s">
        <v>403</v>
      </c>
      <c r="AR136" s="3">
        <v>309.0</v>
      </c>
    </row>
    <row r="137" ht="15.75" customHeight="1">
      <c r="A137" s="4">
        <v>311.0</v>
      </c>
      <c r="B137" s="3" t="s">
        <v>405</v>
      </c>
      <c r="C137" s="3" t="s">
        <v>406</v>
      </c>
      <c r="D137" s="2"/>
      <c r="E137" s="2" t="b">
        <v>0</v>
      </c>
      <c r="F137" s="3" t="s">
        <v>106</v>
      </c>
      <c r="G137" s="3" t="s">
        <v>50</v>
      </c>
      <c r="H137" s="6" t="s">
        <v>107</v>
      </c>
      <c r="I137" s="3" t="s">
        <v>108</v>
      </c>
      <c r="K137" s="3" t="s">
        <v>407</v>
      </c>
      <c r="L137" s="3" t="s">
        <v>50</v>
      </c>
      <c r="M137" s="1" t="s">
        <v>408</v>
      </c>
      <c r="N137" s="3" t="s">
        <v>409</v>
      </c>
      <c r="U137" s="3" t="s">
        <v>56</v>
      </c>
      <c r="V137" s="3" t="s">
        <v>144</v>
      </c>
      <c r="Z137" s="3">
        <v>0.0</v>
      </c>
      <c r="AA137" s="3">
        <v>1.0</v>
      </c>
      <c r="AH137" s="3">
        <v>0.023</v>
      </c>
      <c r="AJ137" s="3">
        <v>3.68</v>
      </c>
      <c r="AN137" s="3">
        <v>1.0</v>
      </c>
      <c r="AP137" s="3" t="s">
        <v>405</v>
      </c>
      <c r="AR137" s="3">
        <v>311.0</v>
      </c>
      <c r="AS137" s="3">
        <v>100.0</v>
      </c>
      <c r="AT137" s="3" t="s">
        <v>59</v>
      </c>
    </row>
    <row r="138" ht="15.75" customHeight="1">
      <c r="A138" s="4">
        <v>312.0</v>
      </c>
      <c r="B138" s="3" t="s">
        <v>410</v>
      </c>
      <c r="C138" s="3" t="s">
        <v>406</v>
      </c>
      <c r="D138" s="3"/>
      <c r="E138" s="3"/>
      <c r="F138" s="3" t="s">
        <v>124</v>
      </c>
      <c r="G138" s="3" t="s">
        <v>50</v>
      </c>
      <c r="H138" s="8" t="s">
        <v>255</v>
      </c>
      <c r="I138" s="3" t="s">
        <v>126</v>
      </c>
      <c r="K138" s="3" t="s">
        <v>106</v>
      </c>
      <c r="L138" s="3" t="s">
        <v>50</v>
      </c>
      <c r="M138" s="6" t="s">
        <v>107</v>
      </c>
      <c r="N138" s="3" t="s">
        <v>108</v>
      </c>
      <c r="U138" s="3" t="s">
        <v>56</v>
      </c>
      <c r="V138" s="3" t="s">
        <v>177</v>
      </c>
      <c r="Z138" s="3">
        <v>0.0</v>
      </c>
      <c r="AA138" s="3">
        <v>1.0</v>
      </c>
      <c r="AH138" s="3">
        <v>-0.0522</v>
      </c>
      <c r="AJ138" s="3">
        <v>48.8</v>
      </c>
      <c r="AN138" s="3">
        <v>1.0</v>
      </c>
      <c r="AP138" s="3" t="s">
        <v>410</v>
      </c>
      <c r="AR138" s="3">
        <v>312.0</v>
      </c>
    </row>
    <row r="139" ht="15.75" customHeight="1">
      <c r="A139" s="4">
        <v>314.0</v>
      </c>
      <c r="B139" s="3" t="s">
        <v>411</v>
      </c>
      <c r="C139" s="3" t="s">
        <v>412</v>
      </c>
      <c r="D139" s="2"/>
      <c r="E139" s="2" t="b">
        <v>0</v>
      </c>
      <c r="F139" s="3" t="s">
        <v>106</v>
      </c>
      <c r="G139" s="3" t="s">
        <v>50</v>
      </c>
      <c r="H139" s="6" t="s">
        <v>107</v>
      </c>
      <c r="I139" s="3" t="s">
        <v>108</v>
      </c>
      <c r="K139" s="3" t="s">
        <v>135</v>
      </c>
      <c r="L139" s="3" t="s">
        <v>50</v>
      </c>
      <c r="M139" s="8" t="s">
        <v>62</v>
      </c>
      <c r="N139" s="3" t="s">
        <v>136</v>
      </c>
      <c r="U139" s="3" t="s">
        <v>56</v>
      </c>
      <c r="V139" s="3" t="s">
        <v>270</v>
      </c>
      <c r="Z139" s="3">
        <v>0.0</v>
      </c>
      <c r="AA139" s="3">
        <v>1.0</v>
      </c>
      <c r="AH139" s="3">
        <v>0.021</v>
      </c>
      <c r="AJ139" s="3">
        <v>3.2</v>
      </c>
      <c r="AN139" s="3">
        <v>1.0</v>
      </c>
      <c r="AP139" s="3" t="s">
        <v>411</v>
      </c>
      <c r="AR139" s="3">
        <v>314.0</v>
      </c>
    </row>
    <row r="140" ht="15.75" customHeight="1">
      <c r="A140" s="4">
        <v>316.0</v>
      </c>
      <c r="B140" s="3" t="s">
        <v>413</v>
      </c>
      <c r="C140" s="3" t="s">
        <v>412</v>
      </c>
      <c r="D140" s="2"/>
      <c r="E140" s="2" t="b">
        <v>1</v>
      </c>
      <c r="F140" s="3" t="s">
        <v>414</v>
      </c>
      <c r="G140" s="3" t="s">
        <v>50</v>
      </c>
      <c r="H140" s="1" t="s">
        <v>415</v>
      </c>
      <c r="I140" s="3" t="s">
        <v>416</v>
      </c>
      <c r="K140" s="3" t="s">
        <v>417</v>
      </c>
      <c r="L140" s="3" t="s">
        <v>50</v>
      </c>
      <c r="M140" s="6" t="s">
        <v>418</v>
      </c>
      <c r="N140" s="3" t="s">
        <v>419</v>
      </c>
      <c r="U140" s="3" t="s">
        <v>379</v>
      </c>
      <c r="V140" s="3" t="s">
        <v>168</v>
      </c>
      <c r="Z140" s="3">
        <v>1.0</v>
      </c>
      <c r="AA140" s="3">
        <v>0.0</v>
      </c>
      <c r="AH140" s="3">
        <v>0.104</v>
      </c>
      <c r="AJ140" s="3">
        <v>-55.0</v>
      </c>
      <c r="AL140" s="3">
        <v>10355.6</v>
      </c>
      <c r="AN140" s="3">
        <v>0.0</v>
      </c>
      <c r="AP140" s="3" t="s">
        <v>413</v>
      </c>
      <c r="AR140" s="3">
        <v>316.0</v>
      </c>
    </row>
    <row r="141" ht="15.75" customHeight="1">
      <c r="A141" s="4">
        <v>327.0</v>
      </c>
      <c r="B141" s="3" t="s">
        <v>420</v>
      </c>
      <c r="C141" s="3" t="s">
        <v>421</v>
      </c>
      <c r="D141" s="2"/>
      <c r="E141" s="2" t="b">
        <v>0</v>
      </c>
      <c r="F141" s="3" t="s">
        <v>106</v>
      </c>
      <c r="G141" s="3" t="s">
        <v>50</v>
      </c>
      <c r="H141" s="6" t="s">
        <v>107</v>
      </c>
      <c r="I141" s="3" t="s">
        <v>108</v>
      </c>
      <c r="J141" s="3">
        <v>0.18</v>
      </c>
      <c r="K141" s="3" t="s">
        <v>124</v>
      </c>
      <c r="L141" s="3" t="s">
        <v>50</v>
      </c>
      <c r="M141" s="8" t="s">
        <v>255</v>
      </c>
      <c r="N141" s="3" t="s">
        <v>126</v>
      </c>
      <c r="O141" s="3">
        <v>0.82</v>
      </c>
      <c r="U141" s="3" t="s">
        <v>56</v>
      </c>
      <c r="V141" s="3" t="s">
        <v>144</v>
      </c>
      <c r="W141" s="3">
        <v>180.0</v>
      </c>
      <c r="Y141" s="3" t="s">
        <v>178</v>
      </c>
      <c r="Z141" s="3">
        <v>0.0</v>
      </c>
      <c r="AA141" s="3">
        <v>1.0</v>
      </c>
      <c r="AH141" s="3">
        <v>-0.01</v>
      </c>
      <c r="AJ141" s="3">
        <v>33.0</v>
      </c>
      <c r="AN141" s="3">
        <v>1.0</v>
      </c>
      <c r="AP141" s="3" t="s">
        <v>420</v>
      </c>
      <c r="AR141" s="3">
        <v>327.0</v>
      </c>
    </row>
    <row r="142" ht="15.75" customHeight="1">
      <c r="A142" s="4">
        <v>332.0</v>
      </c>
      <c r="B142" s="3" t="s">
        <v>345</v>
      </c>
      <c r="C142" s="3" t="s">
        <v>422</v>
      </c>
      <c r="D142" s="2"/>
      <c r="E142" s="2" t="b">
        <v>0</v>
      </c>
      <c r="F142" s="3" t="s">
        <v>106</v>
      </c>
      <c r="G142" s="3" t="s">
        <v>50</v>
      </c>
      <c r="H142" s="6" t="s">
        <v>107</v>
      </c>
      <c r="I142" s="3" t="s">
        <v>108</v>
      </c>
      <c r="K142" s="3" t="s">
        <v>49</v>
      </c>
      <c r="L142" s="3" t="s">
        <v>50</v>
      </c>
      <c r="M142" s="6" t="s">
        <v>51</v>
      </c>
      <c r="N142" s="3" t="s">
        <v>52</v>
      </c>
      <c r="U142" s="3" t="s">
        <v>56</v>
      </c>
      <c r="V142" s="3" t="s">
        <v>144</v>
      </c>
      <c r="Z142" s="3">
        <v>0.0</v>
      </c>
      <c r="AA142" s="3">
        <v>1.0</v>
      </c>
      <c r="AH142" s="3">
        <v>-0.112</v>
      </c>
      <c r="AJ142" s="3">
        <v>98.1</v>
      </c>
      <c r="AN142" s="3">
        <v>1.0</v>
      </c>
      <c r="AP142" s="3" t="s">
        <v>345</v>
      </c>
      <c r="AR142" s="3">
        <v>332.0</v>
      </c>
      <c r="AS142" s="3">
        <v>185.0</v>
      </c>
      <c r="AT142" s="3" t="s">
        <v>59</v>
      </c>
    </row>
    <row r="143" ht="15.75" customHeight="1">
      <c r="A143" s="4">
        <v>335.0</v>
      </c>
      <c r="B143" s="3" t="s">
        <v>423</v>
      </c>
      <c r="C143" s="3" t="s">
        <v>424</v>
      </c>
      <c r="D143" s="3"/>
      <c r="E143" s="3"/>
      <c r="F143" s="3" t="s">
        <v>106</v>
      </c>
      <c r="G143" s="3" t="s">
        <v>50</v>
      </c>
      <c r="H143" s="6" t="s">
        <v>107</v>
      </c>
      <c r="I143" s="3" t="s">
        <v>108</v>
      </c>
      <c r="J143" s="3">
        <v>0.5</v>
      </c>
      <c r="K143" s="3" t="s">
        <v>247</v>
      </c>
      <c r="L143" s="3" t="s">
        <v>50</v>
      </c>
      <c r="M143" s="6" t="s">
        <v>248</v>
      </c>
      <c r="N143" s="3" t="s">
        <v>249</v>
      </c>
      <c r="O143" s="3">
        <v>0.5</v>
      </c>
      <c r="U143" s="3" t="s">
        <v>67</v>
      </c>
      <c r="V143" s="3" t="s">
        <v>113</v>
      </c>
      <c r="W143" s="3">
        <v>160.0</v>
      </c>
      <c r="Y143" s="3" t="s">
        <v>58</v>
      </c>
      <c r="Z143" s="3">
        <v>1.0</v>
      </c>
      <c r="AA143" s="3">
        <v>0.0</v>
      </c>
      <c r="AE143" s="3">
        <v>0.3</v>
      </c>
      <c r="AF143" s="3">
        <v>0.35</v>
      </c>
      <c r="AN143" s="3">
        <v>1.0</v>
      </c>
      <c r="AP143" s="3" t="s">
        <v>423</v>
      </c>
      <c r="AR143" s="3">
        <v>335.0</v>
      </c>
    </row>
    <row r="144" ht="15.75" customHeight="1">
      <c r="A144" s="4">
        <v>336.0</v>
      </c>
      <c r="B144" s="3" t="s">
        <v>425</v>
      </c>
      <c r="C144" s="3" t="s">
        <v>424</v>
      </c>
      <c r="D144" s="3"/>
      <c r="E144" s="3"/>
      <c r="F144" s="3" t="s">
        <v>106</v>
      </c>
      <c r="G144" s="3" t="s">
        <v>50</v>
      </c>
      <c r="H144" s="6" t="s">
        <v>107</v>
      </c>
      <c r="I144" s="3" t="s">
        <v>108</v>
      </c>
      <c r="J144" s="3">
        <v>0.5</v>
      </c>
      <c r="K144" s="3" t="s">
        <v>426</v>
      </c>
      <c r="L144" s="3" t="s">
        <v>50</v>
      </c>
      <c r="M144" s="6" t="s">
        <v>427</v>
      </c>
      <c r="N144" s="3" t="s">
        <v>428</v>
      </c>
      <c r="O144" s="3">
        <v>0.5</v>
      </c>
      <c r="U144" s="3" t="s">
        <v>67</v>
      </c>
      <c r="V144" s="3" t="s">
        <v>177</v>
      </c>
      <c r="Z144" s="3">
        <v>0.0</v>
      </c>
      <c r="AA144" s="3">
        <v>1.0</v>
      </c>
      <c r="AE144" s="3">
        <v>0.031</v>
      </c>
      <c r="AF144" s="3">
        <v>0.034</v>
      </c>
      <c r="AN144" s="3">
        <v>1.0</v>
      </c>
      <c r="AP144" s="3" t="s">
        <v>425</v>
      </c>
      <c r="AR144" s="3">
        <v>336.0</v>
      </c>
    </row>
    <row r="145" ht="15.75" customHeight="1">
      <c r="A145" s="4">
        <v>337.0</v>
      </c>
      <c r="B145" s="3" t="s">
        <v>425</v>
      </c>
      <c r="C145" s="3" t="s">
        <v>424</v>
      </c>
      <c r="D145" s="3"/>
      <c r="E145" s="3"/>
      <c r="F145" s="3" t="s">
        <v>247</v>
      </c>
      <c r="G145" s="3" t="s">
        <v>50</v>
      </c>
      <c r="H145" s="6" t="s">
        <v>248</v>
      </c>
      <c r="I145" s="3" t="s">
        <v>249</v>
      </c>
      <c r="J145" s="3">
        <v>0.5</v>
      </c>
      <c r="K145" s="3" t="s">
        <v>426</v>
      </c>
      <c r="L145" s="3" t="s">
        <v>50</v>
      </c>
      <c r="M145" s="6" t="s">
        <v>427</v>
      </c>
      <c r="N145" s="3" t="s">
        <v>428</v>
      </c>
      <c r="O145" s="3">
        <v>0.5</v>
      </c>
      <c r="U145" s="3" t="s">
        <v>67</v>
      </c>
      <c r="V145" s="3" t="s">
        <v>177</v>
      </c>
      <c r="Z145" s="3">
        <v>0.0</v>
      </c>
      <c r="AA145" s="3">
        <v>1.0</v>
      </c>
      <c r="AE145" s="3">
        <v>0.39</v>
      </c>
      <c r="AF145" s="3">
        <v>0.43</v>
      </c>
      <c r="AN145" s="3">
        <v>1.0</v>
      </c>
      <c r="AP145" s="3" t="s">
        <v>425</v>
      </c>
      <c r="AR145" s="3">
        <v>337.0</v>
      </c>
    </row>
    <row r="146" ht="15.75" customHeight="1">
      <c r="A146" s="4">
        <v>339.0</v>
      </c>
      <c r="B146" s="3" t="s">
        <v>429</v>
      </c>
      <c r="C146" s="3" t="s">
        <v>430</v>
      </c>
      <c r="D146" s="2"/>
      <c r="E146" s="2" t="b">
        <v>1</v>
      </c>
      <c r="F146" s="3" t="s">
        <v>106</v>
      </c>
      <c r="G146" s="3" t="s">
        <v>50</v>
      </c>
      <c r="H146" s="6" t="s">
        <v>107</v>
      </c>
      <c r="I146" s="3" t="s">
        <v>108</v>
      </c>
      <c r="J146" s="3">
        <v>0.5</v>
      </c>
      <c r="K146" s="3" t="s">
        <v>135</v>
      </c>
      <c r="L146" s="3" t="s">
        <v>50</v>
      </c>
      <c r="M146" s="8" t="s">
        <v>62</v>
      </c>
      <c r="N146" s="3" t="s">
        <v>136</v>
      </c>
      <c r="O146" s="3">
        <v>0.5</v>
      </c>
      <c r="U146" s="3" t="s">
        <v>56</v>
      </c>
      <c r="V146" s="3" t="s">
        <v>168</v>
      </c>
      <c r="Z146" s="3">
        <v>0.0</v>
      </c>
      <c r="AA146" s="3">
        <v>1.0</v>
      </c>
      <c r="AH146" s="3">
        <v>0.028</v>
      </c>
      <c r="AI146" s="3">
        <v>0.002</v>
      </c>
      <c r="AJ146" s="3">
        <v>3.9</v>
      </c>
      <c r="AK146" s="3">
        <v>0.6</v>
      </c>
      <c r="AN146" s="3">
        <v>1.0</v>
      </c>
      <c r="AP146" s="3" t="s">
        <v>429</v>
      </c>
      <c r="AR146" s="3">
        <v>339.0</v>
      </c>
    </row>
    <row r="147" ht="15.75" customHeight="1">
      <c r="A147" s="4">
        <v>349.0</v>
      </c>
      <c r="C147" s="3" t="s">
        <v>431</v>
      </c>
      <c r="D147" s="2"/>
      <c r="E147" s="2" t="b">
        <v>0</v>
      </c>
      <c r="F147" s="3" t="s">
        <v>132</v>
      </c>
      <c r="G147" s="3" t="s">
        <v>50</v>
      </c>
      <c r="H147" s="6" t="s">
        <v>133</v>
      </c>
      <c r="I147" s="3" t="s">
        <v>134</v>
      </c>
      <c r="K147" s="3" t="s">
        <v>287</v>
      </c>
      <c r="L147" s="3" t="s">
        <v>50</v>
      </c>
      <c r="M147" s="6" t="s">
        <v>288</v>
      </c>
      <c r="N147" s="3" t="s">
        <v>289</v>
      </c>
      <c r="U147" s="3" t="s">
        <v>56</v>
      </c>
      <c r="V147" s="3" t="s">
        <v>432</v>
      </c>
      <c r="W147" s="3">
        <v>132.0</v>
      </c>
      <c r="X147" s="3">
        <v>240.0</v>
      </c>
      <c r="Y147" s="3" t="s">
        <v>58</v>
      </c>
      <c r="Z147" s="3">
        <v>0.0</v>
      </c>
      <c r="AA147" s="3">
        <v>1.0</v>
      </c>
      <c r="AH147" s="3">
        <v>-0.0502</v>
      </c>
      <c r="AI147" s="3">
        <v>0.0029</v>
      </c>
      <c r="AJ147" s="3">
        <v>67.9</v>
      </c>
      <c r="AK147" s="3">
        <v>3.4</v>
      </c>
      <c r="AN147" s="3">
        <v>0.0</v>
      </c>
      <c r="AR147" s="3">
        <v>349.0</v>
      </c>
      <c r="AS147" s="3">
        <v>118.0</v>
      </c>
      <c r="AT147" s="3" t="s">
        <v>59</v>
      </c>
    </row>
    <row r="148" ht="15.75" customHeight="1">
      <c r="A148" s="4">
        <v>350.0</v>
      </c>
      <c r="B148" s="3" t="s">
        <v>433</v>
      </c>
      <c r="C148" s="3" t="s">
        <v>431</v>
      </c>
      <c r="D148" s="3"/>
      <c r="E148" s="3"/>
      <c r="F148" s="3" t="s">
        <v>106</v>
      </c>
      <c r="G148" s="3" t="s">
        <v>50</v>
      </c>
      <c r="H148" s="6" t="s">
        <v>107</v>
      </c>
      <c r="I148" s="3" t="s">
        <v>108</v>
      </c>
      <c r="K148" s="3" t="s">
        <v>287</v>
      </c>
      <c r="L148" s="3" t="s">
        <v>50</v>
      </c>
      <c r="M148" s="6" t="s">
        <v>288</v>
      </c>
      <c r="N148" s="3" t="s">
        <v>289</v>
      </c>
      <c r="U148" s="3" t="s">
        <v>56</v>
      </c>
      <c r="V148" s="3" t="s">
        <v>328</v>
      </c>
      <c r="Z148" s="3">
        <v>0.0</v>
      </c>
      <c r="AA148" s="3">
        <v>1.0</v>
      </c>
      <c r="AH148" s="3">
        <v>-0.033</v>
      </c>
      <c r="AJ148" s="3">
        <v>63.0</v>
      </c>
      <c r="AN148" s="3">
        <v>0.0</v>
      </c>
      <c r="AP148" s="3" t="s">
        <v>433</v>
      </c>
      <c r="AR148" s="3">
        <v>350.0</v>
      </c>
    </row>
    <row r="149" ht="15.75" customHeight="1">
      <c r="A149" s="4">
        <v>356.0</v>
      </c>
      <c r="B149" s="3" t="s">
        <v>434</v>
      </c>
      <c r="C149" s="3" t="s">
        <v>435</v>
      </c>
      <c r="D149" s="3"/>
      <c r="E149" s="3"/>
      <c r="F149" s="3" t="s">
        <v>74</v>
      </c>
      <c r="G149" s="3" t="s">
        <v>71</v>
      </c>
      <c r="H149" s="4"/>
      <c r="I149" s="3" t="s">
        <v>75</v>
      </c>
      <c r="K149" s="3" t="s">
        <v>149</v>
      </c>
      <c r="L149" s="3" t="s">
        <v>50</v>
      </c>
      <c r="M149" s="6" t="s">
        <v>150</v>
      </c>
      <c r="N149" s="3" t="s">
        <v>151</v>
      </c>
      <c r="U149" s="3" t="s">
        <v>67</v>
      </c>
      <c r="V149" s="3" t="s">
        <v>213</v>
      </c>
      <c r="Z149" s="3">
        <v>0.0</v>
      </c>
      <c r="AA149" s="3">
        <v>1.0</v>
      </c>
      <c r="AE149" s="3">
        <v>0.45</v>
      </c>
      <c r="AN149" s="3">
        <v>1.0</v>
      </c>
      <c r="AP149" s="3" t="s">
        <v>434</v>
      </c>
      <c r="AR149" s="3">
        <v>356.0</v>
      </c>
    </row>
    <row r="150" ht="15.75" customHeight="1">
      <c r="A150" s="4">
        <v>365.0</v>
      </c>
      <c r="B150" s="3" t="s">
        <v>329</v>
      </c>
      <c r="C150" s="3" t="s">
        <v>436</v>
      </c>
      <c r="D150" s="3"/>
      <c r="E150" s="3"/>
      <c r="F150" s="3" t="s">
        <v>74</v>
      </c>
      <c r="G150" s="3" t="s">
        <v>71</v>
      </c>
      <c r="H150" s="4"/>
      <c r="I150" s="3" t="s">
        <v>75</v>
      </c>
      <c r="K150" s="3" t="s">
        <v>149</v>
      </c>
      <c r="L150" s="3" t="s">
        <v>50</v>
      </c>
      <c r="M150" s="6" t="s">
        <v>150</v>
      </c>
      <c r="N150" s="3" t="s">
        <v>151</v>
      </c>
      <c r="U150" s="3" t="s">
        <v>67</v>
      </c>
      <c r="V150" s="3" t="s">
        <v>177</v>
      </c>
      <c r="Z150" s="3">
        <v>0.0</v>
      </c>
      <c r="AA150" s="3">
        <v>1.0</v>
      </c>
      <c r="AE150" s="3">
        <v>0.47</v>
      </c>
      <c r="AN150" s="3">
        <v>1.0</v>
      </c>
      <c r="AP150" s="3" t="s">
        <v>329</v>
      </c>
      <c r="AR150" s="3">
        <v>365.0</v>
      </c>
    </row>
    <row r="151" ht="15.75" customHeight="1">
      <c r="A151" s="4">
        <v>369.0</v>
      </c>
      <c r="B151" s="3" t="s">
        <v>437</v>
      </c>
      <c r="C151" s="3" t="s">
        <v>438</v>
      </c>
      <c r="D151" s="3"/>
      <c r="E151" s="3"/>
      <c r="F151" s="3" t="s">
        <v>76</v>
      </c>
      <c r="G151" s="3" t="s">
        <v>50</v>
      </c>
      <c r="H151" s="6" t="s">
        <v>77</v>
      </c>
      <c r="I151" s="3" t="s">
        <v>78</v>
      </c>
      <c r="K151" s="3" t="s">
        <v>74</v>
      </c>
      <c r="L151" s="3" t="s">
        <v>71</v>
      </c>
      <c r="M151" s="4"/>
      <c r="N151" s="3" t="s">
        <v>75</v>
      </c>
      <c r="U151" s="3" t="s">
        <v>67</v>
      </c>
      <c r="V151" s="3" t="s">
        <v>177</v>
      </c>
      <c r="W151" s="3">
        <v>25.0</v>
      </c>
      <c r="Y151" s="3" t="s">
        <v>58</v>
      </c>
      <c r="Z151" s="3">
        <v>0.0</v>
      </c>
      <c r="AA151" s="3">
        <v>1.0</v>
      </c>
      <c r="AE151" s="3">
        <v>0.41</v>
      </c>
      <c r="AF151" s="3">
        <v>0.45</v>
      </c>
      <c r="AN151" s="3">
        <v>1.0</v>
      </c>
      <c r="AP151" s="3" t="s">
        <v>437</v>
      </c>
      <c r="AR151" s="3">
        <v>369.0</v>
      </c>
    </row>
    <row r="152" ht="15.75" customHeight="1">
      <c r="A152" s="4">
        <v>370.0</v>
      </c>
      <c r="C152" s="3" t="s">
        <v>439</v>
      </c>
      <c r="D152" s="2"/>
      <c r="E152" s="2" t="b">
        <v>0</v>
      </c>
      <c r="F152" s="3" t="s">
        <v>106</v>
      </c>
      <c r="G152" s="3" t="s">
        <v>50</v>
      </c>
      <c r="H152" s="6" t="s">
        <v>107</v>
      </c>
      <c r="I152" s="3" t="s">
        <v>108</v>
      </c>
      <c r="K152" s="3" t="s">
        <v>440</v>
      </c>
      <c r="L152" s="3" t="s">
        <v>50</v>
      </c>
      <c r="M152" s="6" t="s">
        <v>441</v>
      </c>
      <c r="N152" s="3" t="s">
        <v>442</v>
      </c>
      <c r="P152" s="3"/>
      <c r="Q152" s="3"/>
      <c r="R152" s="3">
        <v>3.1</v>
      </c>
      <c r="S152" s="3">
        <v>1.0</v>
      </c>
      <c r="T152" s="3" t="s">
        <v>204</v>
      </c>
      <c r="U152" s="3" t="s">
        <v>67</v>
      </c>
      <c r="V152" s="3" t="s">
        <v>144</v>
      </c>
      <c r="W152" s="3">
        <v>28.0</v>
      </c>
      <c r="Y152" s="3" t="s">
        <v>58</v>
      </c>
      <c r="Z152" s="3">
        <v>0.0</v>
      </c>
      <c r="AA152" s="3">
        <v>1.0</v>
      </c>
      <c r="AE152" s="3">
        <v>0.197</v>
      </c>
      <c r="AN152" s="3">
        <v>0.0</v>
      </c>
      <c r="AR152" s="3">
        <v>370.0</v>
      </c>
      <c r="AS152" s="3">
        <v>0.1</v>
      </c>
      <c r="AT152" s="3" t="s">
        <v>88</v>
      </c>
    </row>
    <row r="153" ht="15.75" customHeight="1">
      <c r="A153" s="4">
        <v>371.0</v>
      </c>
      <c r="B153" s="3" t="s">
        <v>443</v>
      </c>
      <c r="C153" s="3" t="s">
        <v>444</v>
      </c>
      <c r="D153" s="3"/>
      <c r="E153" s="3"/>
      <c r="F153" s="3" t="s">
        <v>445</v>
      </c>
      <c r="G153" s="3" t="s">
        <v>50</v>
      </c>
      <c r="K153" s="3" t="s">
        <v>49</v>
      </c>
      <c r="L153" s="3" t="s">
        <v>50</v>
      </c>
      <c r="M153" s="6" t="s">
        <v>51</v>
      </c>
      <c r="N153" s="3" t="s">
        <v>52</v>
      </c>
      <c r="U153" s="3" t="s">
        <v>67</v>
      </c>
      <c r="V153" s="3" t="s">
        <v>244</v>
      </c>
      <c r="W153" s="3">
        <v>190.0</v>
      </c>
      <c r="Y153" s="3" t="s">
        <v>58</v>
      </c>
      <c r="Z153" s="3">
        <v>0.0</v>
      </c>
      <c r="AA153" s="3">
        <v>0.0</v>
      </c>
      <c r="AE153" s="3">
        <v>0.35</v>
      </c>
      <c r="AN153" s="3">
        <v>1.0</v>
      </c>
      <c r="AP153" s="3" t="s">
        <v>443</v>
      </c>
      <c r="AR153" s="3">
        <v>371.0</v>
      </c>
      <c r="AS153" s="3">
        <v>163.0</v>
      </c>
      <c r="AT153" s="3" t="s">
        <v>59</v>
      </c>
    </row>
    <row r="154" ht="15.75" customHeight="1">
      <c r="A154" s="4">
        <v>372.0</v>
      </c>
      <c r="B154" s="3" t="s">
        <v>446</v>
      </c>
      <c r="C154" s="3" t="s">
        <v>444</v>
      </c>
      <c r="D154" s="3"/>
      <c r="E154" s="3"/>
      <c r="F154" s="3" t="s">
        <v>106</v>
      </c>
      <c r="G154" s="3" t="s">
        <v>50</v>
      </c>
      <c r="H154" s="6" t="s">
        <v>107</v>
      </c>
      <c r="I154" s="3" t="s">
        <v>108</v>
      </c>
      <c r="K154" s="3" t="s">
        <v>124</v>
      </c>
      <c r="L154" s="3" t="s">
        <v>50</v>
      </c>
      <c r="M154" s="8" t="s">
        <v>255</v>
      </c>
      <c r="N154" s="3" t="s">
        <v>126</v>
      </c>
      <c r="U154" s="3" t="s">
        <v>67</v>
      </c>
      <c r="V154" s="3" t="s">
        <v>177</v>
      </c>
      <c r="W154" s="3">
        <v>190.0</v>
      </c>
      <c r="Y154" s="3" t="s">
        <v>58</v>
      </c>
      <c r="Z154" s="3">
        <v>0.0</v>
      </c>
      <c r="AA154" s="3">
        <v>0.0</v>
      </c>
      <c r="AE154" s="3">
        <v>0.07</v>
      </c>
      <c r="AN154" s="3">
        <v>1.0</v>
      </c>
      <c r="AP154" s="3" t="s">
        <v>446</v>
      </c>
      <c r="AR154" s="3">
        <v>372.0</v>
      </c>
      <c r="AS154" s="3">
        <v>163.0</v>
      </c>
      <c r="AT154" s="3" t="s">
        <v>59</v>
      </c>
    </row>
    <row r="155" ht="15.75" customHeight="1">
      <c r="A155" s="4">
        <v>373.0</v>
      </c>
      <c r="B155" s="3" t="s">
        <v>447</v>
      </c>
      <c r="C155" s="3" t="s">
        <v>448</v>
      </c>
      <c r="D155" s="3"/>
      <c r="E155" s="3"/>
      <c r="F155" s="3" t="s">
        <v>449</v>
      </c>
      <c r="G155" s="3" t="s">
        <v>71</v>
      </c>
      <c r="K155" s="3" t="s">
        <v>450</v>
      </c>
      <c r="L155" s="3" t="s">
        <v>50</v>
      </c>
      <c r="M155" s="6" t="s">
        <v>451</v>
      </c>
      <c r="N155" s="3" t="s">
        <v>452</v>
      </c>
      <c r="U155" s="3" t="s">
        <v>67</v>
      </c>
      <c r="V155" s="3" t="s">
        <v>177</v>
      </c>
      <c r="Z155" s="3">
        <v>0.0</v>
      </c>
      <c r="AA155" s="3">
        <v>1.0</v>
      </c>
      <c r="AE155" s="3">
        <v>0.45</v>
      </c>
      <c r="AN155" s="3">
        <v>1.0</v>
      </c>
      <c r="AP155" s="3" t="s">
        <v>447</v>
      </c>
      <c r="AR155" s="3">
        <v>373.0</v>
      </c>
    </row>
    <row r="156" ht="15.75" customHeight="1">
      <c r="A156" s="4">
        <v>374.0</v>
      </c>
      <c r="B156" s="3" t="s">
        <v>447</v>
      </c>
      <c r="C156" s="3" t="s">
        <v>448</v>
      </c>
      <c r="D156" s="3"/>
      <c r="E156" s="3"/>
      <c r="F156" s="3" t="s">
        <v>74</v>
      </c>
      <c r="G156" s="3" t="s">
        <v>71</v>
      </c>
      <c r="H156" s="4"/>
      <c r="I156" s="3" t="s">
        <v>75</v>
      </c>
      <c r="K156" s="3" t="s">
        <v>450</v>
      </c>
      <c r="L156" s="3" t="s">
        <v>50</v>
      </c>
      <c r="M156" s="6" t="s">
        <v>451</v>
      </c>
      <c r="N156" s="3" t="s">
        <v>452</v>
      </c>
      <c r="U156" s="3" t="s">
        <v>67</v>
      </c>
      <c r="V156" s="3" t="s">
        <v>177</v>
      </c>
      <c r="Z156" s="3">
        <v>0.0</v>
      </c>
      <c r="AA156" s="3">
        <v>1.0</v>
      </c>
      <c r="AE156" s="3">
        <v>0.45</v>
      </c>
      <c r="AF156" s="3">
        <v>0.55</v>
      </c>
      <c r="AN156" s="3">
        <v>1.0</v>
      </c>
      <c r="AP156" s="3" t="s">
        <v>447</v>
      </c>
      <c r="AR156" s="3">
        <v>374.0</v>
      </c>
    </row>
    <row r="157" ht="15.75" customHeight="1">
      <c r="A157" s="4">
        <v>376.0</v>
      </c>
      <c r="B157" s="3" t="s">
        <v>453</v>
      </c>
      <c r="C157" s="3" t="s">
        <v>454</v>
      </c>
      <c r="D157" s="2"/>
      <c r="E157" s="2" t="b">
        <v>0</v>
      </c>
      <c r="F157" s="3" t="s">
        <v>106</v>
      </c>
      <c r="G157" s="3" t="s">
        <v>50</v>
      </c>
      <c r="H157" s="6" t="s">
        <v>107</v>
      </c>
      <c r="I157" s="3" t="s">
        <v>108</v>
      </c>
      <c r="K157" s="3" t="s">
        <v>115</v>
      </c>
      <c r="L157" s="3" t="s">
        <v>50</v>
      </c>
      <c r="M157" s="8" t="s">
        <v>116</v>
      </c>
      <c r="N157" s="3" t="s">
        <v>117</v>
      </c>
      <c r="U157" s="3" t="s">
        <v>67</v>
      </c>
      <c r="V157" s="3" t="s">
        <v>455</v>
      </c>
      <c r="Z157" s="3">
        <v>0.0</v>
      </c>
      <c r="AA157" s="3">
        <v>1.0</v>
      </c>
      <c r="AE157" s="3">
        <v>0.055</v>
      </c>
      <c r="AN157" s="3">
        <v>1.0</v>
      </c>
      <c r="AP157" s="3" t="s">
        <v>453</v>
      </c>
      <c r="AR157" s="3">
        <v>376.0</v>
      </c>
    </row>
    <row r="158" ht="15.75" customHeight="1">
      <c r="A158" s="4">
        <v>377.0</v>
      </c>
      <c r="B158" s="3" t="s">
        <v>456</v>
      </c>
      <c r="C158" s="3" t="s">
        <v>457</v>
      </c>
      <c r="D158" s="2"/>
      <c r="E158" s="2" t="b">
        <v>0</v>
      </c>
      <c r="F158" s="3" t="s">
        <v>106</v>
      </c>
      <c r="G158" s="3" t="s">
        <v>50</v>
      </c>
      <c r="H158" s="6" t="s">
        <v>107</v>
      </c>
      <c r="I158" s="3" t="s">
        <v>108</v>
      </c>
      <c r="K158" s="3" t="s">
        <v>164</v>
      </c>
      <c r="L158" s="3" t="s">
        <v>50</v>
      </c>
      <c r="M158" s="6" t="s">
        <v>165</v>
      </c>
      <c r="N158" s="3" t="s">
        <v>166</v>
      </c>
      <c r="U158" s="3" t="s">
        <v>196</v>
      </c>
      <c r="V158" s="3" t="s">
        <v>144</v>
      </c>
      <c r="Z158" s="3">
        <v>0.0</v>
      </c>
      <c r="AA158" s="3">
        <v>1.0</v>
      </c>
      <c r="AN158" s="3">
        <v>1.0</v>
      </c>
      <c r="AP158" s="3" t="s">
        <v>456</v>
      </c>
      <c r="AQ158" s="3" t="s">
        <v>458</v>
      </c>
      <c r="AR158" s="3">
        <v>377.0</v>
      </c>
    </row>
    <row r="159" ht="15.75" customHeight="1">
      <c r="A159" s="4">
        <v>387.0</v>
      </c>
      <c r="B159" s="3" t="s">
        <v>459</v>
      </c>
      <c r="C159" s="3" t="s">
        <v>460</v>
      </c>
      <c r="D159" s="2"/>
      <c r="E159" s="2" t="b">
        <v>0</v>
      </c>
      <c r="F159" s="3" t="s">
        <v>106</v>
      </c>
      <c r="G159" s="3" t="s">
        <v>50</v>
      </c>
      <c r="H159" s="6" t="s">
        <v>107</v>
      </c>
      <c r="I159" s="3" t="s">
        <v>108</v>
      </c>
      <c r="J159" s="3">
        <v>0.5</v>
      </c>
      <c r="K159" s="3" t="s">
        <v>287</v>
      </c>
      <c r="L159" s="3" t="s">
        <v>50</v>
      </c>
      <c r="M159" s="6" t="s">
        <v>288</v>
      </c>
      <c r="N159" s="3" t="s">
        <v>289</v>
      </c>
      <c r="O159" s="3">
        <v>0.5</v>
      </c>
      <c r="U159" s="3" t="s">
        <v>56</v>
      </c>
      <c r="V159" s="3" t="s">
        <v>461</v>
      </c>
      <c r="Z159" s="3">
        <v>0.0</v>
      </c>
      <c r="AA159" s="3">
        <v>0.0</v>
      </c>
      <c r="AC159" s="3">
        <v>2.0</v>
      </c>
      <c r="AH159" s="3">
        <v>-0.095</v>
      </c>
      <c r="AJ159" s="3">
        <v>91.6</v>
      </c>
      <c r="AN159" s="3">
        <v>1.0</v>
      </c>
      <c r="AP159" s="3" t="s">
        <v>459</v>
      </c>
      <c r="AR159" s="3">
        <v>387.0</v>
      </c>
    </row>
    <row r="160" ht="15.75" customHeight="1">
      <c r="A160" s="4">
        <v>388.0</v>
      </c>
      <c r="B160" s="3" t="s">
        <v>405</v>
      </c>
      <c r="C160" s="3" t="s">
        <v>406</v>
      </c>
      <c r="D160" s="2"/>
      <c r="E160" s="2" t="b">
        <v>0</v>
      </c>
      <c r="F160" s="3" t="s">
        <v>106</v>
      </c>
      <c r="G160" s="3" t="s">
        <v>50</v>
      </c>
      <c r="H160" s="6" t="s">
        <v>107</v>
      </c>
      <c r="I160" s="3" t="s">
        <v>108</v>
      </c>
      <c r="K160" s="3" t="s">
        <v>407</v>
      </c>
      <c r="L160" s="3" t="s">
        <v>50</v>
      </c>
      <c r="M160" s="1" t="s">
        <v>408</v>
      </c>
      <c r="N160" s="3" t="s">
        <v>409</v>
      </c>
      <c r="U160" s="3" t="s">
        <v>56</v>
      </c>
      <c r="V160" s="3" t="s">
        <v>144</v>
      </c>
      <c r="Z160" s="3">
        <v>0.0</v>
      </c>
      <c r="AA160" s="3">
        <v>1.0</v>
      </c>
      <c r="AE160" s="3">
        <v>0.08</v>
      </c>
      <c r="AH160" s="3">
        <v>0.028</v>
      </c>
      <c r="AJ160" s="3">
        <v>3.28</v>
      </c>
      <c r="AN160" s="3">
        <v>1.0</v>
      </c>
      <c r="AP160" s="3" t="s">
        <v>405</v>
      </c>
      <c r="AR160" s="3">
        <v>388.0</v>
      </c>
      <c r="AS160" s="3">
        <v>100.0</v>
      </c>
      <c r="AT160" s="3" t="s">
        <v>59</v>
      </c>
    </row>
    <row r="161" ht="15.75" customHeight="1">
      <c r="A161" s="4">
        <v>394.0</v>
      </c>
      <c r="B161" s="3" t="s">
        <v>411</v>
      </c>
      <c r="C161" s="3" t="s">
        <v>412</v>
      </c>
      <c r="D161" s="2"/>
      <c r="E161" s="2" t="b">
        <v>0</v>
      </c>
      <c r="F161" s="3" t="s">
        <v>414</v>
      </c>
      <c r="G161" s="3" t="s">
        <v>50</v>
      </c>
      <c r="H161" s="1" t="s">
        <v>415</v>
      </c>
      <c r="I161" s="3" t="s">
        <v>416</v>
      </c>
      <c r="J161" s="3">
        <v>0.44</v>
      </c>
      <c r="K161" s="3" t="s">
        <v>135</v>
      </c>
      <c r="L161" s="3" t="s">
        <v>50</v>
      </c>
      <c r="M161" s="8" t="s">
        <v>62</v>
      </c>
      <c r="N161" s="3" t="s">
        <v>136</v>
      </c>
      <c r="O161" s="3">
        <v>0.56</v>
      </c>
      <c r="U161" s="3" t="s">
        <v>56</v>
      </c>
      <c r="V161" s="3" t="s">
        <v>270</v>
      </c>
      <c r="Z161" s="3">
        <v>0.0</v>
      </c>
      <c r="AA161" s="3">
        <v>1.0</v>
      </c>
      <c r="AH161" s="3">
        <v>0.0284</v>
      </c>
      <c r="AJ161" s="3">
        <v>3.902</v>
      </c>
      <c r="AN161" s="3">
        <v>1.0</v>
      </c>
      <c r="AP161" s="3" t="s">
        <v>411</v>
      </c>
      <c r="AR161" s="3">
        <v>394.0</v>
      </c>
    </row>
    <row r="162" ht="15.75" customHeight="1">
      <c r="A162" s="4">
        <v>395.0</v>
      </c>
      <c r="B162" s="3" t="s">
        <v>411</v>
      </c>
      <c r="C162" s="3" t="s">
        <v>412</v>
      </c>
      <c r="D162" s="2"/>
      <c r="E162" s="2" t="b">
        <v>0</v>
      </c>
      <c r="F162" s="3" t="s">
        <v>106</v>
      </c>
      <c r="G162" s="3" t="s">
        <v>50</v>
      </c>
      <c r="H162" s="6" t="s">
        <v>107</v>
      </c>
      <c r="I162" s="3" t="s">
        <v>108</v>
      </c>
      <c r="J162" s="3">
        <v>0.5</v>
      </c>
      <c r="K162" s="3" t="s">
        <v>188</v>
      </c>
      <c r="L162" s="3" t="s">
        <v>50</v>
      </c>
      <c r="M162" s="8" t="s">
        <v>189</v>
      </c>
      <c r="N162" s="3" t="s">
        <v>190</v>
      </c>
      <c r="O162" s="3">
        <v>0.5</v>
      </c>
      <c r="U162" s="3" t="s">
        <v>56</v>
      </c>
      <c r="V162" s="3" t="s">
        <v>270</v>
      </c>
      <c r="Z162" s="3">
        <v>0.0</v>
      </c>
      <c r="AA162" s="3">
        <v>1.0</v>
      </c>
      <c r="AH162" s="3">
        <v>0.0292</v>
      </c>
      <c r="AJ162" s="3">
        <v>3.188</v>
      </c>
      <c r="AN162" s="3">
        <v>1.0</v>
      </c>
      <c r="AP162" s="3" t="s">
        <v>411</v>
      </c>
      <c r="AR162" s="3">
        <v>395.0</v>
      </c>
    </row>
    <row r="163" ht="15.75" customHeight="1">
      <c r="A163" s="4">
        <v>396.0</v>
      </c>
      <c r="B163" s="3" t="s">
        <v>411</v>
      </c>
      <c r="C163" s="3" t="s">
        <v>412</v>
      </c>
      <c r="D163" s="2"/>
      <c r="E163" s="2" t="b">
        <v>0</v>
      </c>
      <c r="F163" s="3" t="s">
        <v>414</v>
      </c>
      <c r="G163" s="3" t="s">
        <v>50</v>
      </c>
      <c r="H163" s="1" t="s">
        <v>415</v>
      </c>
      <c r="I163" s="3" t="s">
        <v>416</v>
      </c>
      <c r="J163" s="3">
        <v>0.48</v>
      </c>
      <c r="K163" s="3" t="s">
        <v>188</v>
      </c>
      <c r="L163" s="3" t="s">
        <v>50</v>
      </c>
      <c r="M163" s="8" t="s">
        <v>189</v>
      </c>
      <c r="N163" s="3" t="s">
        <v>190</v>
      </c>
      <c r="O163" s="3">
        <v>0.52</v>
      </c>
      <c r="U163" s="3" t="s">
        <v>56</v>
      </c>
      <c r="V163" s="3" t="s">
        <v>270</v>
      </c>
      <c r="Z163" s="3">
        <v>0.0</v>
      </c>
      <c r="AA163" s="3">
        <v>1.0</v>
      </c>
      <c r="AH163" s="3">
        <v>0.0251</v>
      </c>
      <c r="AJ163" s="3">
        <v>3.199</v>
      </c>
      <c r="AN163" s="3">
        <v>1.0</v>
      </c>
      <c r="AP163" s="3" t="s">
        <v>411</v>
      </c>
      <c r="AR163" s="3">
        <v>396.0</v>
      </c>
    </row>
    <row r="164" ht="15.75" customHeight="1">
      <c r="A164" s="4">
        <v>397.0</v>
      </c>
      <c r="B164" s="3" t="s">
        <v>462</v>
      </c>
      <c r="C164" s="3" t="s">
        <v>412</v>
      </c>
      <c r="D164" s="3"/>
      <c r="E164" s="3"/>
      <c r="F164" s="3" t="s">
        <v>106</v>
      </c>
      <c r="G164" s="3" t="s">
        <v>50</v>
      </c>
      <c r="H164" s="6" t="s">
        <v>107</v>
      </c>
      <c r="I164" s="3" t="s">
        <v>108</v>
      </c>
      <c r="K164" s="3" t="s">
        <v>135</v>
      </c>
      <c r="L164" s="3" t="s">
        <v>50</v>
      </c>
      <c r="M164" s="8" t="s">
        <v>62</v>
      </c>
      <c r="N164" s="3" t="s">
        <v>136</v>
      </c>
      <c r="U164" s="3" t="s">
        <v>56</v>
      </c>
      <c r="V164" s="3" t="s">
        <v>463</v>
      </c>
      <c r="Z164" s="3">
        <v>0.0</v>
      </c>
      <c r="AA164" s="3">
        <v>1.0</v>
      </c>
      <c r="AH164" s="3">
        <v>0.021</v>
      </c>
      <c r="AJ164" s="3">
        <v>3.2</v>
      </c>
      <c r="AN164" s="3">
        <v>1.0</v>
      </c>
      <c r="AP164" s="3" t="s">
        <v>462</v>
      </c>
      <c r="AR164" s="3">
        <v>397.0</v>
      </c>
    </row>
    <row r="165" ht="15.75" customHeight="1">
      <c r="A165" s="4">
        <v>398.0</v>
      </c>
      <c r="B165" s="3" t="s">
        <v>413</v>
      </c>
      <c r="C165" s="3" t="s">
        <v>412</v>
      </c>
      <c r="D165" s="3"/>
      <c r="E165" s="3"/>
      <c r="F165" s="3" t="s">
        <v>414</v>
      </c>
      <c r="G165" s="3" t="s">
        <v>50</v>
      </c>
      <c r="H165" s="1" t="s">
        <v>415</v>
      </c>
      <c r="I165" s="3" t="s">
        <v>416</v>
      </c>
      <c r="K165" s="3" t="s">
        <v>417</v>
      </c>
      <c r="L165" s="3" t="s">
        <v>50</v>
      </c>
      <c r="M165" s="6" t="s">
        <v>418</v>
      </c>
      <c r="N165" s="3" t="s">
        <v>419</v>
      </c>
      <c r="U165" s="3" t="s">
        <v>379</v>
      </c>
      <c r="V165" s="3" t="s">
        <v>168</v>
      </c>
      <c r="Z165" s="3">
        <v>0.0</v>
      </c>
      <c r="AA165" s="3">
        <v>1.0</v>
      </c>
      <c r="AH165" s="3">
        <v>0.104</v>
      </c>
      <c r="AJ165" s="3">
        <v>-55.0</v>
      </c>
      <c r="AL165" s="3">
        <v>10355.6</v>
      </c>
      <c r="AN165" s="3">
        <v>1.0</v>
      </c>
      <c r="AP165" s="3" t="s">
        <v>413</v>
      </c>
      <c r="AR165" s="3">
        <v>398.0</v>
      </c>
    </row>
    <row r="166" ht="15.75" customHeight="1">
      <c r="A166" s="4">
        <v>399.0</v>
      </c>
      <c r="C166" s="3" t="s">
        <v>464</v>
      </c>
      <c r="D166" s="2"/>
      <c r="E166" s="2" t="b">
        <v>1</v>
      </c>
      <c r="F166" s="3" t="s">
        <v>49</v>
      </c>
      <c r="G166" s="3" t="s">
        <v>50</v>
      </c>
      <c r="H166" s="6" t="s">
        <v>51</v>
      </c>
      <c r="I166" s="3" t="s">
        <v>52</v>
      </c>
      <c r="K166" s="3" t="s">
        <v>84</v>
      </c>
      <c r="L166" s="3" t="s">
        <v>71</v>
      </c>
      <c r="M166" s="4"/>
      <c r="N166" s="3" t="s">
        <v>85</v>
      </c>
      <c r="U166" s="3" t="s">
        <v>67</v>
      </c>
      <c r="V166" s="3" t="s">
        <v>68</v>
      </c>
      <c r="W166" s="3">
        <v>25.0</v>
      </c>
      <c r="Y166" s="3" t="s">
        <v>58</v>
      </c>
      <c r="Z166" s="3">
        <v>0.0</v>
      </c>
      <c r="AA166" s="3">
        <v>1.0</v>
      </c>
      <c r="AE166" s="3">
        <v>0.11</v>
      </c>
      <c r="AN166" s="3">
        <v>0.0</v>
      </c>
      <c r="AR166" s="3">
        <v>399.0</v>
      </c>
    </row>
    <row r="167" ht="15.75" customHeight="1">
      <c r="A167" s="4">
        <v>400.0</v>
      </c>
      <c r="C167" s="3" t="s">
        <v>464</v>
      </c>
      <c r="D167" s="2"/>
      <c r="E167" s="2" t="b">
        <v>1</v>
      </c>
      <c r="F167" s="3" t="s">
        <v>465</v>
      </c>
      <c r="G167" s="3" t="s">
        <v>50</v>
      </c>
      <c r="H167" s="6" t="s">
        <v>466</v>
      </c>
      <c r="I167" s="3" t="s">
        <v>467</v>
      </c>
      <c r="K167" s="3" t="s">
        <v>84</v>
      </c>
      <c r="L167" s="3" t="s">
        <v>71</v>
      </c>
      <c r="M167" s="4"/>
      <c r="N167" s="3" t="s">
        <v>85</v>
      </c>
      <c r="U167" s="3" t="s">
        <v>67</v>
      </c>
      <c r="V167" s="3" t="s">
        <v>68</v>
      </c>
      <c r="W167" s="3">
        <v>25.0</v>
      </c>
      <c r="Y167" s="3" t="s">
        <v>58</v>
      </c>
      <c r="Z167" s="3">
        <v>0.0</v>
      </c>
      <c r="AA167" s="3">
        <v>1.0</v>
      </c>
      <c r="AE167" s="3">
        <v>0.42</v>
      </c>
      <c r="AN167" s="3">
        <v>0.0</v>
      </c>
      <c r="AR167" s="3">
        <v>400.0</v>
      </c>
    </row>
    <row r="168" ht="15.75" customHeight="1">
      <c r="A168" s="4">
        <v>401.0</v>
      </c>
      <c r="C168" s="3" t="s">
        <v>464</v>
      </c>
      <c r="D168" s="2"/>
      <c r="E168" s="2" t="b">
        <v>1</v>
      </c>
      <c r="F168" s="3" t="s">
        <v>49</v>
      </c>
      <c r="G168" s="3" t="s">
        <v>50</v>
      </c>
      <c r="H168" s="6" t="s">
        <v>51</v>
      </c>
      <c r="I168" s="3" t="s">
        <v>52</v>
      </c>
      <c r="K168" s="3" t="s">
        <v>465</v>
      </c>
      <c r="L168" s="3" t="s">
        <v>50</v>
      </c>
      <c r="M168" s="6" t="s">
        <v>466</v>
      </c>
      <c r="N168" s="3" t="s">
        <v>467</v>
      </c>
      <c r="U168" s="3" t="s">
        <v>67</v>
      </c>
      <c r="V168" s="3" t="s">
        <v>68</v>
      </c>
      <c r="W168" s="3">
        <v>25.0</v>
      </c>
      <c r="Y168" s="3" t="s">
        <v>58</v>
      </c>
      <c r="Z168" s="3">
        <v>0.0</v>
      </c>
      <c r="AA168" s="3">
        <v>1.0</v>
      </c>
      <c r="AE168" s="3">
        <v>0.72</v>
      </c>
      <c r="AN168" s="3">
        <v>0.0</v>
      </c>
      <c r="AR168" s="3">
        <v>401.0</v>
      </c>
    </row>
    <row r="169" ht="15.75" customHeight="1">
      <c r="A169" s="4">
        <v>402.0</v>
      </c>
      <c r="B169" s="3" t="s">
        <v>468</v>
      </c>
      <c r="C169" s="3" t="s">
        <v>469</v>
      </c>
      <c r="D169" s="2"/>
      <c r="E169" s="2"/>
      <c r="F169" s="3" t="s">
        <v>300</v>
      </c>
      <c r="G169" s="3" t="s">
        <v>50</v>
      </c>
      <c r="H169" s="1" t="s">
        <v>301</v>
      </c>
      <c r="I169" s="3" t="s">
        <v>302</v>
      </c>
      <c r="K169" s="3" t="s">
        <v>470</v>
      </c>
      <c r="L169" s="3" t="s">
        <v>50</v>
      </c>
      <c r="M169" s="6" t="s">
        <v>471</v>
      </c>
      <c r="N169" s="3" t="s">
        <v>472</v>
      </c>
      <c r="U169" s="3" t="s">
        <v>67</v>
      </c>
      <c r="V169" s="3" t="s">
        <v>79</v>
      </c>
      <c r="W169" s="3">
        <v>100.0</v>
      </c>
      <c r="Y169" s="3" t="s">
        <v>58</v>
      </c>
      <c r="Z169" s="3">
        <v>0.0</v>
      </c>
      <c r="AA169" s="3">
        <v>0.0</v>
      </c>
      <c r="AD169" s="3">
        <v>6.0</v>
      </c>
      <c r="AE169" s="3">
        <v>0.0283</v>
      </c>
      <c r="AN169" s="3">
        <v>1.0</v>
      </c>
      <c r="AP169" s="3" t="s">
        <v>468</v>
      </c>
      <c r="AQ169" s="3" t="s">
        <v>473</v>
      </c>
      <c r="AR169" s="3">
        <v>402.0</v>
      </c>
    </row>
    <row r="170" ht="15.75" customHeight="1">
      <c r="A170" s="4">
        <v>403.0</v>
      </c>
      <c r="B170" s="3" t="s">
        <v>468</v>
      </c>
      <c r="C170" s="3" t="s">
        <v>469</v>
      </c>
      <c r="D170" s="3"/>
      <c r="E170" s="3"/>
      <c r="F170" s="3" t="s">
        <v>164</v>
      </c>
      <c r="G170" s="3" t="s">
        <v>50</v>
      </c>
      <c r="H170" s="6" t="s">
        <v>165</v>
      </c>
      <c r="I170" s="3" t="s">
        <v>166</v>
      </c>
      <c r="K170" s="3" t="s">
        <v>470</v>
      </c>
      <c r="L170" s="3" t="s">
        <v>50</v>
      </c>
      <c r="M170" s="6" t="s">
        <v>471</v>
      </c>
      <c r="N170" s="3" t="s">
        <v>472</v>
      </c>
      <c r="U170" s="3" t="s">
        <v>67</v>
      </c>
      <c r="V170" s="3" t="s">
        <v>79</v>
      </c>
      <c r="W170" s="3">
        <v>100.0</v>
      </c>
      <c r="Y170" s="3" t="s">
        <v>58</v>
      </c>
      <c r="Z170" s="3">
        <v>0.0</v>
      </c>
      <c r="AA170" s="3">
        <v>0.0</v>
      </c>
      <c r="AD170" s="3">
        <v>6.0</v>
      </c>
      <c r="AE170" s="3">
        <v>0.0116</v>
      </c>
      <c r="AN170" s="3">
        <v>1.0</v>
      </c>
      <c r="AP170" s="3" t="s">
        <v>468</v>
      </c>
      <c r="AQ170" s="3" t="s">
        <v>473</v>
      </c>
      <c r="AR170" s="3">
        <v>403.0</v>
      </c>
    </row>
    <row r="171" ht="15.75" customHeight="1">
      <c r="A171" s="4">
        <v>404.0</v>
      </c>
      <c r="B171" s="3" t="s">
        <v>468</v>
      </c>
      <c r="C171" s="3" t="s">
        <v>469</v>
      </c>
      <c r="D171" s="3"/>
      <c r="E171" s="3"/>
      <c r="F171" s="3" t="s">
        <v>300</v>
      </c>
      <c r="G171" s="3" t="s">
        <v>50</v>
      </c>
      <c r="H171" s="1" t="s">
        <v>301</v>
      </c>
      <c r="I171" s="3" t="s">
        <v>302</v>
      </c>
      <c r="K171" s="3" t="s">
        <v>164</v>
      </c>
      <c r="L171" s="3" t="s">
        <v>50</v>
      </c>
      <c r="M171" s="6" t="s">
        <v>165</v>
      </c>
      <c r="N171" s="3" t="s">
        <v>166</v>
      </c>
      <c r="U171" s="3" t="s">
        <v>67</v>
      </c>
      <c r="V171" s="3" t="s">
        <v>79</v>
      </c>
      <c r="W171" s="3">
        <v>100.0</v>
      </c>
      <c r="Y171" s="3" t="s">
        <v>58</v>
      </c>
      <c r="Z171" s="3">
        <v>0.0</v>
      </c>
      <c r="AA171" s="3">
        <v>0.0</v>
      </c>
      <c r="AD171" s="3">
        <v>6.0</v>
      </c>
      <c r="AE171" s="3">
        <v>0.0086</v>
      </c>
      <c r="AN171" s="3">
        <v>1.0</v>
      </c>
      <c r="AP171" s="3" t="s">
        <v>468</v>
      </c>
      <c r="AQ171" s="3" t="s">
        <v>473</v>
      </c>
      <c r="AR171" s="3">
        <v>404.0</v>
      </c>
    </row>
    <row r="172" ht="15.75" customHeight="1">
      <c r="A172" s="4">
        <v>406.0</v>
      </c>
      <c r="B172" s="3" t="s">
        <v>474</v>
      </c>
      <c r="C172" s="3" t="s">
        <v>475</v>
      </c>
      <c r="D172" s="3"/>
      <c r="E172" s="3"/>
      <c r="F172" s="3" t="s">
        <v>106</v>
      </c>
      <c r="G172" s="3" t="s">
        <v>50</v>
      </c>
      <c r="H172" s="6" t="s">
        <v>107</v>
      </c>
      <c r="I172" s="3" t="s">
        <v>108</v>
      </c>
      <c r="K172" s="3" t="s">
        <v>124</v>
      </c>
      <c r="L172" s="3" t="s">
        <v>50</v>
      </c>
      <c r="M172" s="8" t="s">
        <v>343</v>
      </c>
      <c r="N172" s="3" t="s">
        <v>126</v>
      </c>
      <c r="U172" s="3" t="s">
        <v>56</v>
      </c>
      <c r="V172" s="3" t="s">
        <v>177</v>
      </c>
      <c r="Z172" s="3">
        <v>0.0</v>
      </c>
      <c r="AA172" s="3">
        <v>1.0</v>
      </c>
      <c r="AH172" s="3">
        <v>-0.0857</v>
      </c>
      <c r="AJ172" s="3">
        <v>71.4</v>
      </c>
      <c r="AN172" s="3">
        <v>1.0</v>
      </c>
      <c r="AP172" s="3" t="s">
        <v>474</v>
      </c>
      <c r="AR172" s="3">
        <v>406.0</v>
      </c>
      <c r="AS172" s="3">
        <v>144.0</v>
      </c>
      <c r="AT172" s="3" t="s">
        <v>59</v>
      </c>
    </row>
    <row r="173" ht="15.75" customHeight="1">
      <c r="A173" s="4">
        <v>407.0</v>
      </c>
      <c r="B173" s="3" t="s">
        <v>104</v>
      </c>
      <c r="C173" s="3" t="s">
        <v>476</v>
      </c>
      <c r="D173" s="2"/>
      <c r="E173" s="2" t="b">
        <v>1</v>
      </c>
      <c r="F173" s="3" t="s">
        <v>106</v>
      </c>
      <c r="G173" s="3" t="s">
        <v>50</v>
      </c>
      <c r="H173" s="6" t="s">
        <v>107</v>
      </c>
      <c r="I173" s="3" t="s">
        <v>108</v>
      </c>
      <c r="K173" s="3" t="s">
        <v>109</v>
      </c>
      <c r="L173" s="3" t="s">
        <v>50</v>
      </c>
      <c r="M173" s="6" t="s">
        <v>110</v>
      </c>
      <c r="N173" s="3" t="s">
        <v>111</v>
      </c>
      <c r="U173" s="3" t="s">
        <v>67</v>
      </c>
      <c r="V173" s="3" t="s">
        <v>68</v>
      </c>
      <c r="Z173" s="3">
        <v>0.0</v>
      </c>
      <c r="AA173" s="3">
        <v>1.0</v>
      </c>
      <c r="AE173" s="3">
        <v>0.68</v>
      </c>
      <c r="AN173" s="3">
        <v>1.0</v>
      </c>
      <c r="AP173" s="3" t="s">
        <v>104</v>
      </c>
      <c r="AR173" s="3">
        <v>407.0</v>
      </c>
    </row>
    <row r="174" ht="15.75" customHeight="1">
      <c r="A174" s="4">
        <v>410.0</v>
      </c>
      <c r="C174" s="3" t="s">
        <v>477</v>
      </c>
      <c r="D174" s="2"/>
      <c r="E174" s="2" t="b">
        <v>1</v>
      </c>
      <c r="F174" s="3" t="s">
        <v>258</v>
      </c>
      <c r="G174" s="3" t="s">
        <v>50</v>
      </c>
      <c r="H174" s="6" t="s">
        <v>259</v>
      </c>
      <c r="I174" s="3" t="s">
        <v>260</v>
      </c>
      <c r="K174" s="3" t="s">
        <v>478</v>
      </c>
      <c r="L174" s="3" t="s">
        <v>50</v>
      </c>
      <c r="M174" s="6" t="s">
        <v>479</v>
      </c>
      <c r="N174" s="3" t="s">
        <v>480</v>
      </c>
      <c r="U174" s="3" t="s">
        <v>56</v>
      </c>
      <c r="V174" s="3" t="s">
        <v>68</v>
      </c>
      <c r="Z174" s="3">
        <v>0.0</v>
      </c>
      <c r="AA174" s="3">
        <v>0.0</v>
      </c>
      <c r="AD174" s="3">
        <v>6.0</v>
      </c>
      <c r="AH174" s="3">
        <v>0.0</v>
      </c>
      <c r="AJ174" s="3">
        <v>886.0</v>
      </c>
      <c r="AN174" s="3">
        <v>0.0</v>
      </c>
      <c r="AR174" s="3">
        <v>410.0</v>
      </c>
      <c r="AS174" s="23">
        <v>2.57E-22</v>
      </c>
      <c r="AT174" s="3" t="s">
        <v>481</v>
      </c>
    </row>
    <row r="175" ht="15.75" customHeight="1">
      <c r="A175" s="4">
        <v>411.0</v>
      </c>
      <c r="B175" s="3" t="s">
        <v>367</v>
      </c>
      <c r="C175" s="3" t="s">
        <v>482</v>
      </c>
      <c r="D175" s="3"/>
      <c r="E175" s="3"/>
      <c r="F175" s="3" t="s">
        <v>124</v>
      </c>
      <c r="G175" s="3" t="s">
        <v>50</v>
      </c>
      <c r="H175" s="8" t="s">
        <v>255</v>
      </c>
      <c r="I175" s="3" t="s">
        <v>126</v>
      </c>
      <c r="K175" s="3" t="s">
        <v>135</v>
      </c>
      <c r="L175" s="3" t="s">
        <v>50</v>
      </c>
      <c r="M175" s="8" t="s">
        <v>62</v>
      </c>
      <c r="N175" s="3" t="s">
        <v>136</v>
      </c>
      <c r="U175" s="3" t="s">
        <v>67</v>
      </c>
      <c r="V175" s="3" t="s">
        <v>483</v>
      </c>
      <c r="W175" s="3">
        <v>22.0</v>
      </c>
      <c r="Y175" s="3" t="s">
        <v>58</v>
      </c>
      <c r="Z175" s="3">
        <v>1.0</v>
      </c>
      <c r="AA175" s="3">
        <v>0.0</v>
      </c>
      <c r="AE175" s="3">
        <v>0.077</v>
      </c>
      <c r="AG175" s="3">
        <v>0.004</v>
      </c>
      <c r="AN175" s="3">
        <v>1.0</v>
      </c>
      <c r="AP175" s="3" t="s">
        <v>367</v>
      </c>
      <c r="AR175" s="3">
        <v>411.0</v>
      </c>
    </row>
    <row r="176" ht="15.75" customHeight="1">
      <c r="A176" s="4">
        <v>412.0</v>
      </c>
      <c r="B176" s="3" t="s">
        <v>423</v>
      </c>
      <c r="C176" s="3" t="s">
        <v>484</v>
      </c>
      <c r="D176" s="3"/>
      <c r="E176" s="3"/>
      <c r="F176" s="3" t="s">
        <v>106</v>
      </c>
      <c r="G176" s="3" t="s">
        <v>50</v>
      </c>
      <c r="H176" s="6" t="s">
        <v>107</v>
      </c>
      <c r="I176" s="3" t="s">
        <v>108</v>
      </c>
      <c r="K176" s="3" t="s">
        <v>247</v>
      </c>
      <c r="L176" s="3" t="s">
        <v>50</v>
      </c>
      <c r="M176" s="6" t="s">
        <v>248</v>
      </c>
      <c r="N176" s="3" t="s">
        <v>249</v>
      </c>
      <c r="U176" s="3" t="s">
        <v>67</v>
      </c>
      <c r="V176" s="3" t="s">
        <v>113</v>
      </c>
      <c r="W176" s="3">
        <v>160.0</v>
      </c>
      <c r="Y176" s="3" t="s">
        <v>58</v>
      </c>
      <c r="Z176" s="3">
        <v>0.0</v>
      </c>
      <c r="AA176" s="3">
        <v>1.0</v>
      </c>
      <c r="AE176" s="3">
        <v>0.3</v>
      </c>
      <c r="AF176" s="3">
        <v>0.35</v>
      </c>
      <c r="AN176" s="3">
        <v>1.0</v>
      </c>
      <c r="AP176" s="3" t="s">
        <v>423</v>
      </c>
      <c r="AR176" s="3">
        <v>412.0</v>
      </c>
    </row>
    <row r="177" ht="15.75" customHeight="1">
      <c r="A177" s="4">
        <v>413.0</v>
      </c>
      <c r="B177" s="3" t="s">
        <v>485</v>
      </c>
      <c r="C177" s="3" t="s">
        <v>484</v>
      </c>
      <c r="D177" s="3"/>
      <c r="E177" s="3"/>
      <c r="F177" s="3" t="s">
        <v>106</v>
      </c>
      <c r="G177" s="3" t="s">
        <v>50</v>
      </c>
      <c r="H177" s="6" t="s">
        <v>107</v>
      </c>
      <c r="I177" s="3" t="s">
        <v>108</v>
      </c>
      <c r="K177" s="3" t="s">
        <v>486</v>
      </c>
      <c r="L177" s="3" t="s">
        <v>50</v>
      </c>
      <c r="M177" s="8" t="s">
        <v>487</v>
      </c>
      <c r="N177" s="3" t="s">
        <v>488</v>
      </c>
      <c r="U177" s="3" t="s">
        <v>67</v>
      </c>
      <c r="V177" s="3" t="s">
        <v>113</v>
      </c>
      <c r="W177" s="3">
        <v>250.0</v>
      </c>
      <c r="Y177" s="3" t="s">
        <v>58</v>
      </c>
      <c r="Z177" s="3">
        <v>0.0</v>
      </c>
      <c r="AA177" s="3">
        <v>1.0</v>
      </c>
      <c r="AE177" s="3">
        <v>0.035</v>
      </c>
      <c r="AF177" s="3">
        <v>0.0046</v>
      </c>
      <c r="AN177" s="3">
        <v>1.0</v>
      </c>
      <c r="AP177" s="3" t="s">
        <v>485</v>
      </c>
      <c r="AQ177" s="3" t="s">
        <v>489</v>
      </c>
      <c r="AR177" s="3">
        <v>413.0</v>
      </c>
    </row>
    <row r="178" ht="15.75" customHeight="1">
      <c r="A178" s="4">
        <v>414.0</v>
      </c>
      <c r="B178" s="3" t="s">
        <v>490</v>
      </c>
      <c r="C178" s="3" t="s">
        <v>484</v>
      </c>
      <c r="D178" s="2"/>
      <c r="E178" s="2" t="b">
        <v>1</v>
      </c>
      <c r="F178" s="3" t="s">
        <v>106</v>
      </c>
      <c r="G178" s="3" t="s">
        <v>50</v>
      </c>
      <c r="H178" s="6" t="s">
        <v>107</v>
      </c>
      <c r="I178" s="3" t="s">
        <v>108</v>
      </c>
      <c r="K178" s="3" t="s">
        <v>491</v>
      </c>
      <c r="L178" s="3" t="s">
        <v>50</v>
      </c>
      <c r="M178" s="6" t="s">
        <v>492</v>
      </c>
      <c r="N178" s="3" t="s">
        <v>493</v>
      </c>
      <c r="U178" s="3" t="s">
        <v>67</v>
      </c>
      <c r="V178" s="3" t="s">
        <v>68</v>
      </c>
      <c r="Z178" s="3">
        <v>0.0</v>
      </c>
      <c r="AA178" s="3">
        <v>1.0</v>
      </c>
      <c r="AE178" s="3">
        <v>0.099</v>
      </c>
      <c r="AN178" s="3">
        <v>1.0</v>
      </c>
      <c r="AP178" s="3" t="s">
        <v>490</v>
      </c>
      <c r="AR178" s="3">
        <v>414.0</v>
      </c>
    </row>
    <row r="179" ht="15.75" customHeight="1">
      <c r="A179" s="4">
        <v>415.0</v>
      </c>
      <c r="B179" s="3" t="s">
        <v>494</v>
      </c>
      <c r="C179" s="3" t="s">
        <v>484</v>
      </c>
      <c r="D179" s="2"/>
      <c r="E179" s="2" t="b">
        <v>1</v>
      </c>
      <c r="F179" s="3" t="s">
        <v>106</v>
      </c>
      <c r="G179" s="3" t="s">
        <v>50</v>
      </c>
      <c r="H179" s="6" t="s">
        <v>107</v>
      </c>
      <c r="I179" s="3" t="s">
        <v>108</v>
      </c>
      <c r="K179" s="3" t="s">
        <v>135</v>
      </c>
      <c r="L179" s="3" t="s">
        <v>50</v>
      </c>
      <c r="M179" s="8" t="s">
        <v>62</v>
      </c>
      <c r="N179" s="3" t="s">
        <v>136</v>
      </c>
      <c r="U179" s="3" t="s">
        <v>67</v>
      </c>
      <c r="V179" s="3" t="s">
        <v>68</v>
      </c>
      <c r="Z179" s="3">
        <v>0.0</v>
      </c>
      <c r="AA179" s="3">
        <v>1.0</v>
      </c>
      <c r="AE179" s="3">
        <v>0.0044</v>
      </c>
      <c r="AN179" s="3">
        <v>1.0</v>
      </c>
      <c r="AP179" s="3" t="s">
        <v>494</v>
      </c>
      <c r="AR179" s="3">
        <v>415.0</v>
      </c>
    </row>
    <row r="180" ht="15.75" customHeight="1">
      <c r="A180" s="4">
        <v>417.0</v>
      </c>
      <c r="B180" s="3" t="s">
        <v>495</v>
      </c>
      <c r="C180" s="3" t="s">
        <v>484</v>
      </c>
      <c r="D180" s="2"/>
      <c r="E180" s="2" t="b">
        <v>1</v>
      </c>
      <c r="F180" s="3" t="s">
        <v>106</v>
      </c>
      <c r="G180" s="3" t="s">
        <v>50</v>
      </c>
      <c r="H180" s="6" t="s">
        <v>107</v>
      </c>
      <c r="I180" s="3" t="s">
        <v>108</v>
      </c>
      <c r="K180" s="3" t="s">
        <v>496</v>
      </c>
      <c r="L180" s="3" t="s">
        <v>50</v>
      </c>
      <c r="M180" s="6" t="s">
        <v>497</v>
      </c>
      <c r="N180" s="3" t="s">
        <v>498</v>
      </c>
      <c r="U180" s="3" t="s">
        <v>67</v>
      </c>
      <c r="V180" s="3" t="s">
        <v>68</v>
      </c>
      <c r="Z180" s="3">
        <v>0.0</v>
      </c>
      <c r="AA180" s="3">
        <v>1.0</v>
      </c>
      <c r="AE180" s="3">
        <v>0.09</v>
      </c>
      <c r="AN180" s="3">
        <v>1.0</v>
      </c>
      <c r="AP180" s="3" t="s">
        <v>495</v>
      </c>
      <c r="AR180" s="3">
        <v>417.0</v>
      </c>
    </row>
    <row r="181" ht="15.75" customHeight="1">
      <c r="A181" s="4">
        <v>418.0</v>
      </c>
      <c r="B181" s="3" t="s">
        <v>499</v>
      </c>
      <c r="C181" s="3" t="s">
        <v>484</v>
      </c>
      <c r="D181" s="2"/>
      <c r="E181" s="2" t="b">
        <v>0</v>
      </c>
      <c r="F181" s="3" t="s">
        <v>106</v>
      </c>
      <c r="G181" s="3" t="s">
        <v>50</v>
      </c>
      <c r="H181" s="6" t="s">
        <v>107</v>
      </c>
      <c r="I181" s="3" t="s">
        <v>108</v>
      </c>
      <c r="K181" s="3" t="s">
        <v>208</v>
      </c>
      <c r="L181" s="3" t="s">
        <v>50</v>
      </c>
      <c r="M181" s="6" t="s">
        <v>209</v>
      </c>
      <c r="N181" s="3" t="s">
        <v>210</v>
      </c>
      <c r="U181" s="3" t="s">
        <v>67</v>
      </c>
      <c r="V181" s="3" t="s">
        <v>270</v>
      </c>
      <c r="W181" s="3">
        <v>120.0</v>
      </c>
      <c r="Y181" s="3" t="s">
        <v>58</v>
      </c>
      <c r="Z181" s="3">
        <v>0.0</v>
      </c>
      <c r="AA181" s="3">
        <v>1.0</v>
      </c>
      <c r="AE181" s="3">
        <v>0.012</v>
      </c>
      <c r="AF181" s="3">
        <v>0.015</v>
      </c>
      <c r="AG181" s="3">
        <v>0.001</v>
      </c>
      <c r="AN181" s="3">
        <v>1.0</v>
      </c>
      <c r="AP181" s="3" t="s">
        <v>499</v>
      </c>
      <c r="AR181" s="3">
        <v>418.0</v>
      </c>
    </row>
    <row r="182" ht="15.75" customHeight="1">
      <c r="A182" s="4">
        <v>420.0</v>
      </c>
      <c r="B182" s="3" t="s">
        <v>500</v>
      </c>
      <c r="C182" s="3" t="s">
        <v>501</v>
      </c>
      <c r="D182" s="3"/>
      <c r="E182" s="3"/>
      <c r="F182" s="3" t="s">
        <v>106</v>
      </c>
      <c r="G182" s="3" t="s">
        <v>50</v>
      </c>
      <c r="H182" s="6" t="s">
        <v>107</v>
      </c>
      <c r="I182" s="3" t="s">
        <v>108</v>
      </c>
      <c r="K182" s="3" t="s">
        <v>115</v>
      </c>
      <c r="L182" s="3" t="s">
        <v>50</v>
      </c>
      <c r="M182" s="8" t="s">
        <v>502</v>
      </c>
      <c r="N182" s="3" t="s">
        <v>117</v>
      </c>
      <c r="U182" s="3" t="s">
        <v>56</v>
      </c>
      <c r="V182" s="3" t="s">
        <v>503</v>
      </c>
      <c r="Z182" s="3">
        <v>0.0</v>
      </c>
      <c r="AA182" s="3">
        <v>1.0</v>
      </c>
      <c r="AH182" s="3">
        <v>-0.03813</v>
      </c>
      <c r="AJ182" s="3">
        <v>30.137</v>
      </c>
      <c r="AN182" s="3">
        <v>1.0</v>
      </c>
      <c r="AP182" s="3" t="s">
        <v>500</v>
      </c>
      <c r="AR182" s="3">
        <v>420.0</v>
      </c>
      <c r="AS182" s="3">
        <v>118.0</v>
      </c>
      <c r="AT182" s="3" t="s">
        <v>59</v>
      </c>
    </row>
    <row r="183" ht="15.75" customHeight="1">
      <c r="A183" s="4">
        <v>423.0</v>
      </c>
      <c r="B183" s="3" t="s">
        <v>504</v>
      </c>
      <c r="C183" s="3" t="s">
        <v>505</v>
      </c>
      <c r="D183" s="2"/>
      <c r="E183" s="2" t="b">
        <v>0</v>
      </c>
      <c r="F183" s="3" t="s">
        <v>106</v>
      </c>
      <c r="G183" s="3" t="s">
        <v>50</v>
      </c>
      <c r="H183" s="6" t="s">
        <v>107</v>
      </c>
      <c r="I183" s="3" t="s">
        <v>108</v>
      </c>
      <c r="K183" s="3" t="s">
        <v>506</v>
      </c>
      <c r="L183" s="3" t="s">
        <v>50</v>
      </c>
      <c r="M183" s="6" t="s">
        <v>507</v>
      </c>
      <c r="N183" s="3" t="s">
        <v>508</v>
      </c>
      <c r="U183" s="3" t="s">
        <v>56</v>
      </c>
      <c r="V183" s="3" t="s">
        <v>270</v>
      </c>
      <c r="Z183" s="3">
        <v>0.0</v>
      </c>
      <c r="AA183" s="3">
        <v>1.0</v>
      </c>
      <c r="AH183" s="3">
        <v>0.02</v>
      </c>
      <c r="AI183" s="3">
        <v>0.005</v>
      </c>
      <c r="AJ183" s="3">
        <v>24.0</v>
      </c>
      <c r="AK183" s="3">
        <v>6.0</v>
      </c>
      <c r="AN183" s="3">
        <v>1.0</v>
      </c>
      <c r="AP183" s="3" t="s">
        <v>504</v>
      </c>
      <c r="AR183" s="3">
        <v>423.0</v>
      </c>
      <c r="AS183" s="23">
        <v>1.0E-21</v>
      </c>
      <c r="AT183" s="3" t="s">
        <v>481</v>
      </c>
    </row>
    <row r="184" ht="15.75" customHeight="1">
      <c r="A184" s="4">
        <v>424.0</v>
      </c>
      <c r="B184" s="3" t="s">
        <v>509</v>
      </c>
      <c r="C184" s="3" t="s">
        <v>484</v>
      </c>
      <c r="D184" s="3"/>
      <c r="E184" s="3"/>
      <c r="F184" s="3" t="s">
        <v>510</v>
      </c>
      <c r="G184" s="3" t="s">
        <v>50</v>
      </c>
      <c r="H184" s="6" t="s">
        <v>511</v>
      </c>
      <c r="I184" s="3" t="s">
        <v>512</v>
      </c>
      <c r="K184" s="3" t="s">
        <v>106</v>
      </c>
      <c r="L184" s="3" t="s">
        <v>50</v>
      </c>
      <c r="M184" s="6" t="s">
        <v>107</v>
      </c>
      <c r="N184" s="3" t="s">
        <v>108</v>
      </c>
      <c r="U184" s="3" t="s">
        <v>67</v>
      </c>
      <c r="V184" s="3" t="s">
        <v>513</v>
      </c>
      <c r="W184" s="3">
        <v>130.0</v>
      </c>
      <c r="X184" s="3">
        <v>180.0</v>
      </c>
      <c r="Y184" s="3" t="s">
        <v>58</v>
      </c>
      <c r="Z184" s="3">
        <v>0.0</v>
      </c>
      <c r="AA184" s="3">
        <v>1.0</v>
      </c>
      <c r="AE184" s="3">
        <v>0.0065</v>
      </c>
      <c r="AF184" s="3">
        <v>0.01</v>
      </c>
      <c r="AN184" s="3">
        <v>1.0</v>
      </c>
      <c r="AP184" s="3" t="s">
        <v>509</v>
      </c>
      <c r="AQ184" s="3" t="s">
        <v>514</v>
      </c>
      <c r="AR184" s="3">
        <v>424.0</v>
      </c>
    </row>
    <row r="185" ht="15.75" customHeight="1">
      <c r="A185" s="4">
        <v>427.0</v>
      </c>
      <c r="B185" s="3" t="s">
        <v>515</v>
      </c>
      <c r="C185" s="3" t="s">
        <v>516</v>
      </c>
      <c r="D185" s="3"/>
      <c r="E185" s="3"/>
      <c r="F185" s="3" t="s">
        <v>517</v>
      </c>
      <c r="G185" s="3" t="s">
        <v>50</v>
      </c>
      <c r="H185" s="6" t="s">
        <v>518</v>
      </c>
      <c r="I185" s="3" t="s">
        <v>519</v>
      </c>
      <c r="K185" s="3" t="s">
        <v>74</v>
      </c>
      <c r="L185" s="3" t="s">
        <v>71</v>
      </c>
      <c r="M185" s="4"/>
      <c r="N185" s="3" t="s">
        <v>75</v>
      </c>
      <c r="U185" s="3" t="s">
        <v>67</v>
      </c>
      <c r="V185" s="3" t="s">
        <v>520</v>
      </c>
      <c r="Z185" s="3">
        <v>0.0</v>
      </c>
      <c r="AA185" s="3">
        <v>1.0</v>
      </c>
      <c r="AE185" s="3">
        <v>0.506</v>
      </c>
      <c r="AN185" s="3">
        <v>1.0</v>
      </c>
      <c r="AP185" s="3" t="s">
        <v>515</v>
      </c>
      <c r="AR185" s="3">
        <v>427.0</v>
      </c>
    </row>
    <row r="186" ht="15.75" customHeight="1">
      <c r="A186" s="4">
        <v>428.0</v>
      </c>
      <c r="B186" s="3" t="s">
        <v>521</v>
      </c>
      <c r="C186" s="3" t="s">
        <v>522</v>
      </c>
      <c r="D186" s="3"/>
      <c r="E186" s="3"/>
      <c r="F186" s="3" t="s">
        <v>180</v>
      </c>
      <c r="G186" s="3" t="s">
        <v>50</v>
      </c>
      <c r="H186" s="6" t="s">
        <v>181</v>
      </c>
      <c r="I186" s="3" t="s">
        <v>182</v>
      </c>
      <c r="K186" s="3" t="s">
        <v>300</v>
      </c>
      <c r="L186" s="3" t="s">
        <v>50</v>
      </c>
      <c r="M186" s="8" t="s">
        <v>523</v>
      </c>
      <c r="N186" s="3" t="s">
        <v>302</v>
      </c>
      <c r="U186" s="3" t="s">
        <v>56</v>
      </c>
      <c r="V186" s="3" t="s">
        <v>79</v>
      </c>
      <c r="Z186" s="3">
        <v>0.0</v>
      </c>
      <c r="AA186" s="3">
        <v>1.0</v>
      </c>
      <c r="AH186" s="3">
        <v>-0.0174</v>
      </c>
      <c r="AJ186" s="3">
        <v>29.4</v>
      </c>
      <c r="AN186" s="3">
        <v>1.0</v>
      </c>
      <c r="AP186" s="3" t="s">
        <v>521</v>
      </c>
      <c r="AR186" s="3">
        <v>428.0</v>
      </c>
      <c r="AS186" s="3">
        <v>118.0</v>
      </c>
      <c r="AT186" s="3" t="s">
        <v>59</v>
      </c>
    </row>
    <row r="187" ht="15.75" customHeight="1">
      <c r="A187" s="4">
        <v>429.0</v>
      </c>
      <c r="B187" s="3" t="s">
        <v>521</v>
      </c>
      <c r="C187" s="3" t="s">
        <v>522</v>
      </c>
      <c r="D187" s="3"/>
      <c r="E187" s="3"/>
      <c r="F187" s="3" t="s">
        <v>180</v>
      </c>
      <c r="G187" s="3" t="s">
        <v>50</v>
      </c>
      <c r="H187" s="6" t="s">
        <v>181</v>
      </c>
      <c r="I187" s="3" t="s">
        <v>182</v>
      </c>
      <c r="K187" s="3" t="s">
        <v>470</v>
      </c>
      <c r="L187" s="3" t="s">
        <v>50</v>
      </c>
      <c r="M187" s="6" t="s">
        <v>471</v>
      </c>
      <c r="N187" s="3" t="s">
        <v>472</v>
      </c>
      <c r="U187" s="3" t="s">
        <v>56</v>
      </c>
      <c r="V187" s="3" t="s">
        <v>79</v>
      </c>
      <c r="Z187" s="3">
        <v>1.0</v>
      </c>
      <c r="AA187" s="3">
        <v>0.0</v>
      </c>
      <c r="AH187" s="3">
        <v>-0.0087</v>
      </c>
      <c r="AJ187" s="3">
        <v>11.2</v>
      </c>
      <c r="AN187" s="3">
        <v>1.0</v>
      </c>
      <c r="AP187" s="3" t="s">
        <v>521</v>
      </c>
      <c r="AR187" s="3">
        <v>429.0</v>
      </c>
      <c r="AS187" s="3">
        <v>118.0</v>
      </c>
      <c r="AT187" s="3" t="s">
        <v>59</v>
      </c>
    </row>
    <row r="188" ht="15.75" customHeight="1">
      <c r="A188" s="4">
        <v>430.0</v>
      </c>
      <c r="B188" s="3" t="s">
        <v>524</v>
      </c>
      <c r="C188" s="3" t="s">
        <v>522</v>
      </c>
      <c r="D188" s="3"/>
      <c r="E188" s="3"/>
      <c r="F188" s="3" t="s">
        <v>180</v>
      </c>
      <c r="G188" s="3" t="s">
        <v>50</v>
      </c>
      <c r="H188" s="6" t="s">
        <v>181</v>
      </c>
      <c r="I188" s="3" t="s">
        <v>182</v>
      </c>
      <c r="K188" s="3" t="s">
        <v>164</v>
      </c>
      <c r="L188" s="3" t="s">
        <v>50</v>
      </c>
      <c r="M188" s="6" t="s">
        <v>165</v>
      </c>
      <c r="N188" s="3" t="s">
        <v>166</v>
      </c>
      <c r="U188" s="3" t="s">
        <v>56</v>
      </c>
      <c r="V188" s="3" t="s">
        <v>79</v>
      </c>
      <c r="Z188" s="3">
        <v>0.0</v>
      </c>
      <c r="AA188" s="3">
        <v>1.0</v>
      </c>
      <c r="AH188" s="3">
        <v>-0.0036</v>
      </c>
      <c r="AJ188" s="3">
        <v>15.7</v>
      </c>
      <c r="AN188" s="3">
        <v>1.0</v>
      </c>
      <c r="AP188" s="3" t="s">
        <v>524</v>
      </c>
      <c r="AR188" s="3">
        <v>430.0</v>
      </c>
      <c r="AS188" s="3">
        <v>118.0</v>
      </c>
      <c r="AT188" s="3" t="s">
        <v>59</v>
      </c>
    </row>
    <row r="189" ht="15.75" customHeight="1">
      <c r="A189" s="4">
        <v>435.0</v>
      </c>
      <c r="C189" s="3" t="s">
        <v>525</v>
      </c>
      <c r="D189" s="2"/>
      <c r="E189" s="2" t="b">
        <v>1</v>
      </c>
      <c r="F189" s="3" t="s">
        <v>106</v>
      </c>
      <c r="G189" s="3" t="s">
        <v>50</v>
      </c>
      <c r="H189" s="6" t="s">
        <v>107</v>
      </c>
      <c r="I189" s="3" t="s">
        <v>108</v>
      </c>
      <c r="K189" s="3" t="s">
        <v>356</v>
      </c>
      <c r="L189" s="3" t="s">
        <v>71</v>
      </c>
      <c r="M189" s="4"/>
      <c r="U189" s="3" t="s">
        <v>67</v>
      </c>
      <c r="V189" s="3" t="s">
        <v>68</v>
      </c>
      <c r="W189" s="3">
        <v>24.0</v>
      </c>
      <c r="Y189" s="3" t="s">
        <v>58</v>
      </c>
      <c r="Z189" s="3">
        <v>0.0</v>
      </c>
      <c r="AA189" s="3">
        <v>0.0</v>
      </c>
      <c r="AC189" s="3">
        <v>2.0</v>
      </c>
      <c r="AE189" s="3">
        <v>0.68</v>
      </c>
      <c r="AN189" s="3">
        <v>0.0</v>
      </c>
      <c r="AR189" s="3">
        <v>435.0</v>
      </c>
    </row>
    <row r="190" ht="15.75" customHeight="1">
      <c r="A190" s="4">
        <v>436.0</v>
      </c>
      <c r="C190" s="3" t="s">
        <v>525</v>
      </c>
      <c r="D190" s="2"/>
      <c r="E190" s="2" t="b">
        <v>1</v>
      </c>
      <c r="F190" s="3" t="s">
        <v>106</v>
      </c>
      <c r="G190" s="3" t="s">
        <v>50</v>
      </c>
      <c r="H190" s="6" t="s">
        <v>107</v>
      </c>
      <c r="I190" s="3" t="s">
        <v>108</v>
      </c>
      <c r="K190" s="3" t="s">
        <v>356</v>
      </c>
      <c r="L190" s="3" t="s">
        <v>71</v>
      </c>
      <c r="M190" s="4"/>
      <c r="U190" s="3" t="s">
        <v>67</v>
      </c>
      <c r="V190" s="3" t="s">
        <v>68</v>
      </c>
      <c r="W190" s="3">
        <v>2.0</v>
      </c>
      <c r="Y190" s="3" t="s">
        <v>58</v>
      </c>
      <c r="Z190" s="3">
        <v>0.0</v>
      </c>
      <c r="AA190" s="3">
        <v>0.0</v>
      </c>
      <c r="AC190" s="3">
        <v>2.0</v>
      </c>
      <c r="AE190" s="3">
        <v>0.73</v>
      </c>
      <c r="AN190" s="3">
        <v>0.0</v>
      </c>
      <c r="AR190" s="3">
        <v>436.0</v>
      </c>
    </row>
    <row r="191" ht="15.75" customHeight="1">
      <c r="A191" s="4">
        <v>437.0</v>
      </c>
      <c r="C191" s="3" t="s">
        <v>525</v>
      </c>
      <c r="D191" s="2"/>
      <c r="E191" s="2" t="b">
        <v>1</v>
      </c>
      <c r="F191" s="3" t="s">
        <v>135</v>
      </c>
      <c r="G191" s="3" t="s">
        <v>50</v>
      </c>
      <c r="H191" s="8" t="s">
        <v>62</v>
      </c>
      <c r="I191" s="3" t="s">
        <v>136</v>
      </c>
      <c r="K191" s="3" t="s">
        <v>356</v>
      </c>
      <c r="L191" s="3" t="s">
        <v>71</v>
      </c>
      <c r="M191" s="4"/>
      <c r="U191" s="3" t="s">
        <v>67</v>
      </c>
      <c r="V191" s="3" t="s">
        <v>68</v>
      </c>
      <c r="W191" s="3">
        <v>24.0</v>
      </c>
      <c r="Y191" s="3" t="s">
        <v>58</v>
      </c>
      <c r="Z191" s="3">
        <v>0.0</v>
      </c>
      <c r="AA191" s="3">
        <v>0.0</v>
      </c>
      <c r="AC191" s="3">
        <v>2.0</v>
      </c>
      <c r="AE191" s="3">
        <v>0.32</v>
      </c>
      <c r="AN191" s="3">
        <v>0.0</v>
      </c>
      <c r="AR191" s="3">
        <v>437.0</v>
      </c>
    </row>
    <row r="192" ht="15.75" customHeight="1">
      <c r="A192" s="4">
        <v>438.0</v>
      </c>
      <c r="C192" s="3" t="s">
        <v>525</v>
      </c>
      <c r="D192" s="2"/>
      <c r="E192" s="2" t="b">
        <v>1</v>
      </c>
      <c r="F192" s="3" t="s">
        <v>135</v>
      </c>
      <c r="G192" s="3" t="s">
        <v>50</v>
      </c>
      <c r="H192" s="8" t="s">
        <v>62</v>
      </c>
      <c r="I192" s="3" t="s">
        <v>136</v>
      </c>
      <c r="K192" s="3" t="s">
        <v>356</v>
      </c>
      <c r="L192" s="3" t="s">
        <v>71</v>
      </c>
      <c r="M192" s="4"/>
      <c r="U192" s="3" t="s">
        <v>67</v>
      </c>
      <c r="V192" s="3" t="s">
        <v>68</v>
      </c>
      <c r="W192" s="3">
        <v>2.0</v>
      </c>
      <c r="Y192" s="3" t="s">
        <v>58</v>
      </c>
      <c r="Z192" s="3">
        <v>0.0</v>
      </c>
      <c r="AA192" s="3">
        <v>0.0</v>
      </c>
      <c r="AC192" s="3">
        <v>2.0</v>
      </c>
      <c r="AE192" s="3">
        <v>0.35</v>
      </c>
      <c r="AN192" s="3">
        <v>0.0</v>
      </c>
      <c r="AR192" s="3">
        <v>438.0</v>
      </c>
    </row>
    <row r="193" ht="15.75" customHeight="1">
      <c r="A193" s="4">
        <v>449.0</v>
      </c>
      <c r="B193" s="3" t="s">
        <v>526</v>
      </c>
      <c r="C193" s="3" t="s">
        <v>527</v>
      </c>
      <c r="D193" s="3"/>
      <c r="E193" s="3"/>
      <c r="F193" s="3" t="s">
        <v>106</v>
      </c>
      <c r="G193" s="3" t="s">
        <v>50</v>
      </c>
      <c r="H193" s="6" t="s">
        <v>107</v>
      </c>
      <c r="I193" s="3" t="s">
        <v>108</v>
      </c>
      <c r="K193" s="3" t="s">
        <v>258</v>
      </c>
      <c r="L193" s="3" t="s">
        <v>50</v>
      </c>
      <c r="M193" s="6" t="s">
        <v>259</v>
      </c>
      <c r="N193" s="3" t="s">
        <v>260</v>
      </c>
      <c r="U193" s="3" t="s">
        <v>56</v>
      </c>
      <c r="V193" s="3" t="s">
        <v>177</v>
      </c>
      <c r="Z193" s="3">
        <v>1.0</v>
      </c>
      <c r="AA193" s="3">
        <v>0.0</v>
      </c>
      <c r="AH193" s="3">
        <v>-0.037</v>
      </c>
      <c r="AJ193" s="3">
        <v>68.0</v>
      </c>
      <c r="AN193" s="3">
        <v>1.0</v>
      </c>
      <c r="AP193" s="3" t="s">
        <v>526</v>
      </c>
      <c r="AR193" s="3">
        <v>449.0</v>
      </c>
    </row>
    <row r="194" ht="15.75" customHeight="1">
      <c r="A194" s="4">
        <v>452.0</v>
      </c>
      <c r="C194" s="3" t="s">
        <v>528</v>
      </c>
      <c r="D194" s="2"/>
      <c r="E194" s="2" t="b">
        <v>0</v>
      </c>
      <c r="F194" s="3" t="s">
        <v>157</v>
      </c>
      <c r="G194" s="3" t="s">
        <v>50</v>
      </c>
      <c r="H194" s="6" t="s">
        <v>158</v>
      </c>
      <c r="I194" s="3" t="s">
        <v>159</v>
      </c>
      <c r="J194" s="3">
        <v>0.613</v>
      </c>
      <c r="K194" s="3" t="s">
        <v>49</v>
      </c>
      <c r="L194" s="3" t="s">
        <v>50</v>
      </c>
      <c r="M194" s="6" t="s">
        <v>51</v>
      </c>
      <c r="N194" s="3" t="s">
        <v>52</v>
      </c>
      <c r="O194" s="3">
        <v>0.387</v>
      </c>
      <c r="P194" s="3"/>
      <c r="Q194" s="3"/>
      <c r="R194" s="3">
        <v>2300.0</v>
      </c>
      <c r="S194" s="3">
        <v>1700.0</v>
      </c>
      <c r="T194" s="3" t="s">
        <v>167</v>
      </c>
      <c r="U194" s="3" t="s">
        <v>56</v>
      </c>
      <c r="V194" s="3" t="s">
        <v>144</v>
      </c>
      <c r="Z194" s="3">
        <v>0.0</v>
      </c>
      <c r="AA194" s="3">
        <v>1.0</v>
      </c>
      <c r="AB194" s="3">
        <v>1.0</v>
      </c>
      <c r="AH194" s="3">
        <v>0.29</v>
      </c>
      <c r="AJ194" s="3">
        <v>51.3</v>
      </c>
      <c r="AN194" s="3">
        <v>0.0</v>
      </c>
      <c r="AR194" s="3">
        <v>452.0</v>
      </c>
    </row>
    <row r="195" ht="15.75" customHeight="1">
      <c r="A195" s="4">
        <v>453.0</v>
      </c>
      <c r="B195" s="3" t="s">
        <v>529</v>
      </c>
      <c r="C195" s="3" t="s">
        <v>528</v>
      </c>
      <c r="D195" s="3"/>
      <c r="E195" s="3"/>
      <c r="F195" s="3" t="s">
        <v>106</v>
      </c>
      <c r="G195" s="3" t="s">
        <v>50</v>
      </c>
      <c r="H195" s="6" t="s">
        <v>107</v>
      </c>
      <c r="I195" s="3" t="s">
        <v>108</v>
      </c>
      <c r="K195" s="3" t="s">
        <v>258</v>
      </c>
      <c r="L195" s="3" t="s">
        <v>50</v>
      </c>
      <c r="M195" s="6" t="s">
        <v>259</v>
      </c>
      <c r="N195" s="3" t="s">
        <v>260</v>
      </c>
      <c r="U195" s="3" t="s">
        <v>56</v>
      </c>
      <c r="V195" s="3" t="s">
        <v>177</v>
      </c>
      <c r="Z195" s="3">
        <v>0.0</v>
      </c>
      <c r="AA195" s="3">
        <v>1.0</v>
      </c>
      <c r="AB195" s="3">
        <v>1.0</v>
      </c>
      <c r="AH195" s="3">
        <v>0.037</v>
      </c>
      <c r="AJ195" s="3">
        <v>68.0</v>
      </c>
      <c r="AN195" s="3">
        <v>1.0</v>
      </c>
      <c r="AP195" s="3" t="s">
        <v>529</v>
      </c>
      <c r="AR195" s="3">
        <v>453.0</v>
      </c>
      <c r="AS195" s="3">
        <v>118.0</v>
      </c>
      <c r="AT195" s="3" t="s">
        <v>59</v>
      </c>
    </row>
    <row r="196" ht="15.75" customHeight="1">
      <c r="A196" s="4">
        <v>455.0</v>
      </c>
      <c r="B196" s="3" t="s">
        <v>529</v>
      </c>
      <c r="C196" s="3" t="s">
        <v>528</v>
      </c>
      <c r="D196" s="3"/>
      <c r="E196" s="3"/>
      <c r="F196" s="3" t="s">
        <v>106</v>
      </c>
      <c r="G196" s="3" t="s">
        <v>50</v>
      </c>
      <c r="H196" s="6" t="s">
        <v>107</v>
      </c>
      <c r="I196" s="3" t="s">
        <v>108</v>
      </c>
      <c r="K196" s="3" t="s">
        <v>76</v>
      </c>
      <c r="L196" s="3" t="s">
        <v>50</v>
      </c>
      <c r="M196" s="6" t="s">
        <v>77</v>
      </c>
      <c r="N196" s="3" t="s">
        <v>78</v>
      </c>
      <c r="U196" s="3" t="s">
        <v>56</v>
      </c>
      <c r="V196" s="3" t="s">
        <v>177</v>
      </c>
      <c r="Z196" s="3">
        <v>0.0</v>
      </c>
      <c r="AA196" s="3">
        <v>1.0</v>
      </c>
      <c r="AB196" s="3">
        <v>1.0</v>
      </c>
      <c r="AH196" s="3">
        <v>-0.023</v>
      </c>
      <c r="AJ196" s="3">
        <v>29.8</v>
      </c>
      <c r="AN196" s="3">
        <v>1.0</v>
      </c>
      <c r="AP196" s="3" t="s">
        <v>529</v>
      </c>
      <c r="AR196" s="3">
        <v>455.0</v>
      </c>
      <c r="AS196" s="3">
        <v>118.0</v>
      </c>
      <c r="AT196" s="3" t="s">
        <v>59</v>
      </c>
    </row>
    <row r="197" ht="15.75" customHeight="1">
      <c r="A197" s="4">
        <v>456.0</v>
      </c>
      <c r="B197" s="3" t="s">
        <v>155</v>
      </c>
      <c r="C197" s="3" t="s">
        <v>528</v>
      </c>
      <c r="D197" s="2"/>
      <c r="E197" s="2" t="b">
        <v>0</v>
      </c>
      <c r="F197" s="3" t="s">
        <v>106</v>
      </c>
      <c r="G197" s="3" t="s">
        <v>50</v>
      </c>
      <c r="H197" s="6" t="s">
        <v>107</v>
      </c>
      <c r="I197" s="3" t="s">
        <v>108</v>
      </c>
      <c r="J197" s="3">
        <v>0.53</v>
      </c>
      <c r="K197" s="3" t="s">
        <v>135</v>
      </c>
      <c r="L197" s="3" t="s">
        <v>50</v>
      </c>
      <c r="M197" s="8" t="s">
        <v>62</v>
      </c>
      <c r="N197" s="3" t="s">
        <v>136</v>
      </c>
      <c r="O197" s="3">
        <v>0.47</v>
      </c>
      <c r="U197" s="3" t="s">
        <v>56</v>
      </c>
      <c r="V197" s="3" t="s">
        <v>144</v>
      </c>
      <c r="Z197" s="3">
        <v>0.0</v>
      </c>
      <c r="AA197" s="3">
        <v>1.0</v>
      </c>
      <c r="AB197" s="3">
        <v>1.0</v>
      </c>
      <c r="AH197" s="3">
        <v>0.0282</v>
      </c>
      <c r="AJ197" s="3">
        <v>4.46</v>
      </c>
      <c r="AN197" s="3">
        <v>1.0</v>
      </c>
      <c r="AP197" s="3" t="s">
        <v>155</v>
      </c>
      <c r="AR197" s="3">
        <v>456.0</v>
      </c>
    </row>
    <row r="198" ht="15.75" customHeight="1">
      <c r="A198" s="4">
        <v>461.0</v>
      </c>
      <c r="B198" s="3" t="s">
        <v>336</v>
      </c>
      <c r="C198" s="3" t="s">
        <v>530</v>
      </c>
      <c r="D198" s="2"/>
      <c r="E198" s="2" t="b">
        <v>0</v>
      </c>
      <c r="F198" s="3" t="s">
        <v>106</v>
      </c>
      <c r="G198" s="3" t="s">
        <v>50</v>
      </c>
      <c r="H198" s="6" t="s">
        <v>107</v>
      </c>
      <c r="I198" s="3" t="s">
        <v>108</v>
      </c>
      <c r="K198" s="3" t="s">
        <v>49</v>
      </c>
      <c r="L198" s="3" t="s">
        <v>50</v>
      </c>
      <c r="M198" s="6" t="s">
        <v>51</v>
      </c>
      <c r="N198" s="3" t="s">
        <v>52</v>
      </c>
      <c r="U198" s="3" t="s">
        <v>56</v>
      </c>
      <c r="V198" s="3" t="s">
        <v>144</v>
      </c>
      <c r="Z198" s="3">
        <v>0.0</v>
      </c>
      <c r="AA198" s="3">
        <v>0.0</v>
      </c>
      <c r="AD198" s="3">
        <v>3.0</v>
      </c>
      <c r="AH198" s="3">
        <v>-0.211</v>
      </c>
      <c r="AJ198" s="3">
        <v>154.9</v>
      </c>
      <c r="AN198" s="3">
        <v>1.0</v>
      </c>
      <c r="AP198" s="3" t="s">
        <v>336</v>
      </c>
      <c r="AR198" s="3">
        <v>461.0</v>
      </c>
    </row>
    <row r="199" ht="15.75" customHeight="1">
      <c r="A199" s="4">
        <v>463.0</v>
      </c>
      <c r="B199" s="3" t="s">
        <v>531</v>
      </c>
      <c r="C199" s="3" t="s">
        <v>532</v>
      </c>
      <c r="D199" s="2"/>
      <c r="E199" s="2" t="b">
        <v>0</v>
      </c>
      <c r="F199" s="3" t="s">
        <v>76</v>
      </c>
      <c r="G199" s="3" t="s">
        <v>50</v>
      </c>
      <c r="H199" s="6" t="s">
        <v>77</v>
      </c>
      <c r="I199" s="3" t="s">
        <v>78</v>
      </c>
      <c r="K199" s="3" t="s">
        <v>124</v>
      </c>
      <c r="L199" s="3" t="s">
        <v>50</v>
      </c>
      <c r="M199" s="8" t="s">
        <v>255</v>
      </c>
      <c r="N199" s="3" t="s">
        <v>126</v>
      </c>
      <c r="U199" s="3" t="s">
        <v>56</v>
      </c>
      <c r="V199" s="3" t="s">
        <v>144</v>
      </c>
      <c r="Z199" s="3">
        <v>0.0</v>
      </c>
      <c r="AA199" s="3">
        <v>1.0</v>
      </c>
      <c r="AH199" s="3">
        <v>0.125</v>
      </c>
      <c r="AJ199" s="3">
        <v>65.0</v>
      </c>
      <c r="AN199" s="3">
        <v>1.0</v>
      </c>
      <c r="AP199" s="3" t="s">
        <v>531</v>
      </c>
      <c r="AR199" s="3">
        <v>463.0</v>
      </c>
    </row>
    <row r="200" ht="15.75" customHeight="1">
      <c r="A200" s="4">
        <v>466.0</v>
      </c>
      <c r="B200" s="3" t="s">
        <v>533</v>
      </c>
      <c r="C200" s="3" t="s">
        <v>532</v>
      </c>
      <c r="D200" s="3"/>
      <c r="E200" s="3"/>
      <c r="F200" s="3" t="s">
        <v>164</v>
      </c>
      <c r="G200" s="3" t="s">
        <v>50</v>
      </c>
      <c r="H200" s="6" t="s">
        <v>165</v>
      </c>
      <c r="I200" s="3" t="s">
        <v>166</v>
      </c>
      <c r="K200" s="3" t="s">
        <v>470</v>
      </c>
      <c r="L200" s="3" t="s">
        <v>50</v>
      </c>
      <c r="M200" s="6" t="s">
        <v>471</v>
      </c>
      <c r="N200" s="3" t="s">
        <v>472</v>
      </c>
      <c r="U200" s="3" t="s">
        <v>56</v>
      </c>
      <c r="V200" s="3" t="s">
        <v>79</v>
      </c>
      <c r="Z200" s="3">
        <v>0.0</v>
      </c>
      <c r="AA200" s="3">
        <v>1.0</v>
      </c>
      <c r="AH200" s="3">
        <v>4.44E-4</v>
      </c>
      <c r="AJ200" s="3">
        <v>4.69</v>
      </c>
      <c r="AN200" s="3">
        <v>1.0</v>
      </c>
      <c r="AP200" s="3" t="s">
        <v>533</v>
      </c>
      <c r="AR200" s="3">
        <v>466.0</v>
      </c>
    </row>
    <row r="201" ht="15.75" customHeight="1">
      <c r="A201" s="4">
        <v>475.0</v>
      </c>
      <c r="B201" s="3" t="s">
        <v>534</v>
      </c>
      <c r="C201" s="3" t="s">
        <v>535</v>
      </c>
      <c r="D201" s="3"/>
      <c r="E201" s="3"/>
      <c r="F201" s="3" t="s">
        <v>106</v>
      </c>
      <c r="G201" s="3" t="s">
        <v>50</v>
      </c>
      <c r="H201" s="6" t="s">
        <v>107</v>
      </c>
      <c r="I201" s="3" t="s">
        <v>108</v>
      </c>
      <c r="K201" s="3" t="s">
        <v>300</v>
      </c>
      <c r="L201" s="3" t="s">
        <v>50</v>
      </c>
      <c r="M201" s="8" t="s">
        <v>301</v>
      </c>
      <c r="N201" s="3" t="s">
        <v>302</v>
      </c>
      <c r="U201" s="3" t="s">
        <v>67</v>
      </c>
      <c r="V201" s="3" t="s">
        <v>536</v>
      </c>
      <c r="Z201" s="3">
        <v>0.0</v>
      </c>
      <c r="AA201" s="3">
        <v>0.0</v>
      </c>
      <c r="AC201" s="3">
        <v>1.0</v>
      </c>
      <c r="AE201" s="3">
        <v>0.07</v>
      </c>
      <c r="AN201" s="3">
        <v>1.0</v>
      </c>
      <c r="AP201" s="3" t="s">
        <v>534</v>
      </c>
      <c r="AR201" s="3">
        <v>475.0</v>
      </c>
    </row>
    <row r="202" ht="15.75" customHeight="1">
      <c r="A202" s="4">
        <v>478.0</v>
      </c>
      <c r="B202" s="3" t="s">
        <v>446</v>
      </c>
      <c r="C202" s="3" t="s">
        <v>537</v>
      </c>
      <c r="D202" s="3"/>
      <c r="E202" s="3"/>
      <c r="F202" s="3" t="s">
        <v>106</v>
      </c>
      <c r="G202" s="3" t="s">
        <v>50</v>
      </c>
      <c r="H202" s="6" t="s">
        <v>107</v>
      </c>
      <c r="I202" s="3" t="s">
        <v>108</v>
      </c>
      <c r="K202" s="3" t="s">
        <v>124</v>
      </c>
      <c r="L202" s="3" t="s">
        <v>50</v>
      </c>
      <c r="M202" s="8" t="s">
        <v>255</v>
      </c>
      <c r="N202" s="3" t="s">
        <v>126</v>
      </c>
      <c r="U202" s="3" t="s">
        <v>538</v>
      </c>
      <c r="V202" s="3" t="s">
        <v>177</v>
      </c>
      <c r="W202" s="3">
        <v>120.0</v>
      </c>
      <c r="Y202" s="3" t="s">
        <v>58</v>
      </c>
      <c r="Z202" s="3">
        <v>0.0</v>
      </c>
      <c r="AA202" s="3">
        <v>1.0</v>
      </c>
      <c r="AE202" s="3">
        <v>58.0</v>
      </c>
      <c r="AN202" s="3">
        <v>1.0</v>
      </c>
      <c r="AP202" s="3" t="s">
        <v>446</v>
      </c>
      <c r="AR202" s="3">
        <v>478.0</v>
      </c>
    </row>
    <row r="203" ht="15.75" customHeight="1">
      <c r="A203" s="4">
        <v>480.0</v>
      </c>
      <c r="B203" s="3" t="s">
        <v>539</v>
      </c>
      <c r="C203" s="3" t="s">
        <v>540</v>
      </c>
      <c r="D203" s="3"/>
      <c r="E203" s="3"/>
      <c r="F203" s="3" t="s">
        <v>135</v>
      </c>
      <c r="G203" s="3" t="s">
        <v>50</v>
      </c>
      <c r="H203" s="8" t="s">
        <v>62</v>
      </c>
      <c r="I203" s="3" t="s">
        <v>136</v>
      </c>
      <c r="K203" s="3" t="s">
        <v>314</v>
      </c>
      <c r="L203" s="3" t="s">
        <v>50</v>
      </c>
      <c r="M203" s="6" t="s">
        <v>315</v>
      </c>
      <c r="N203" s="3" t="s">
        <v>316</v>
      </c>
      <c r="U203" s="3" t="s">
        <v>67</v>
      </c>
      <c r="V203" s="3" t="s">
        <v>177</v>
      </c>
      <c r="Z203" s="3">
        <v>0.0</v>
      </c>
      <c r="AA203" s="3">
        <v>1.0</v>
      </c>
      <c r="AE203" s="3">
        <v>-0.07</v>
      </c>
      <c r="AN203" s="3">
        <v>1.0</v>
      </c>
      <c r="AP203" s="3" t="s">
        <v>539</v>
      </c>
      <c r="AR203" s="3">
        <v>480.0</v>
      </c>
    </row>
    <row r="204" ht="15.75" customHeight="1">
      <c r="A204" s="4">
        <v>482.0</v>
      </c>
      <c r="B204" s="3" t="s">
        <v>423</v>
      </c>
      <c r="C204" s="3" t="s">
        <v>541</v>
      </c>
      <c r="D204" s="3"/>
      <c r="E204" s="3"/>
      <c r="F204" s="3" t="s">
        <v>106</v>
      </c>
      <c r="G204" s="3" t="s">
        <v>50</v>
      </c>
      <c r="H204" s="6" t="s">
        <v>107</v>
      </c>
      <c r="I204" s="3" t="s">
        <v>108</v>
      </c>
      <c r="J204" s="14">
        <v>50.0</v>
      </c>
      <c r="K204" s="3" t="s">
        <v>287</v>
      </c>
      <c r="L204" s="3" t="s">
        <v>50</v>
      </c>
      <c r="M204" s="6" t="s">
        <v>288</v>
      </c>
      <c r="N204" s="3" t="s">
        <v>289</v>
      </c>
      <c r="O204" s="3">
        <v>50.0</v>
      </c>
      <c r="U204" s="3" t="s">
        <v>67</v>
      </c>
      <c r="V204" s="3" t="s">
        <v>113</v>
      </c>
      <c r="W204" s="3">
        <v>160.0</v>
      </c>
      <c r="Y204" s="3" t="s">
        <v>58</v>
      </c>
      <c r="Z204" s="3">
        <v>0.0</v>
      </c>
      <c r="AA204" s="3">
        <v>1.0</v>
      </c>
      <c r="AE204" s="3">
        <v>0.09</v>
      </c>
      <c r="AF204" s="3">
        <v>0.11</v>
      </c>
      <c r="AN204" s="3">
        <v>1.0</v>
      </c>
      <c r="AP204" s="3" t="s">
        <v>423</v>
      </c>
      <c r="AR204" s="3">
        <v>482.0</v>
      </c>
    </row>
    <row r="205" ht="15.75" customHeight="1">
      <c r="A205" s="4">
        <v>483.0</v>
      </c>
      <c r="B205" s="3" t="s">
        <v>245</v>
      </c>
      <c r="C205" s="3" t="s">
        <v>541</v>
      </c>
      <c r="D205" s="2"/>
      <c r="E205" s="2" t="b">
        <v>0</v>
      </c>
      <c r="F205" s="3" t="s">
        <v>106</v>
      </c>
      <c r="G205" s="3" t="s">
        <v>50</v>
      </c>
      <c r="H205" s="6" t="s">
        <v>107</v>
      </c>
      <c r="I205" s="3" t="s">
        <v>108</v>
      </c>
      <c r="K205" s="3" t="s">
        <v>287</v>
      </c>
      <c r="L205" s="3" t="s">
        <v>50</v>
      </c>
      <c r="M205" s="6" t="s">
        <v>288</v>
      </c>
      <c r="N205" s="3" t="s">
        <v>289</v>
      </c>
      <c r="U205" s="3" t="s">
        <v>56</v>
      </c>
      <c r="V205" s="3" t="s">
        <v>144</v>
      </c>
      <c r="Z205" s="3">
        <v>0.0</v>
      </c>
      <c r="AA205" s="3">
        <v>1.0</v>
      </c>
      <c r="AH205" s="3">
        <v>-1.79E-4</v>
      </c>
      <c r="AJ205" s="3">
        <v>0.478</v>
      </c>
      <c r="AN205" s="3">
        <v>1.0</v>
      </c>
      <c r="AP205" s="3" t="s">
        <v>245</v>
      </c>
      <c r="AQ205" s="3" t="s">
        <v>542</v>
      </c>
      <c r="AR205" s="3">
        <v>483.0</v>
      </c>
      <c r="AS205" s="3">
        <v>1.0</v>
      </c>
      <c r="AT205" s="3" t="s">
        <v>252</v>
      </c>
    </row>
    <row r="206" ht="15.75" customHeight="1">
      <c r="A206" s="4">
        <v>486.0</v>
      </c>
      <c r="B206" s="3" t="s">
        <v>543</v>
      </c>
      <c r="C206" s="3" t="s">
        <v>544</v>
      </c>
      <c r="D206" s="3"/>
      <c r="E206" s="3"/>
      <c r="F206" s="3" t="s">
        <v>106</v>
      </c>
      <c r="G206" s="3" t="s">
        <v>50</v>
      </c>
      <c r="H206" s="6" t="s">
        <v>107</v>
      </c>
      <c r="I206" s="3" t="s">
        <v>108</v>
      </c>
      <c r="K206" s="3" t="s">
        <v>414</v>
      </c>
      <c r="L206" s="3" t="s">
        <v>50</v>
      </c>
      <c r="M206" s="1" t="s">
        <v>415</v>
      </c>
      <c r="N206" s="3" t="s">
        <v>416</v>
      </c>
      <c r="U206" s="3" t="s">
        <v>56</v>
      </c>
      <c r="V206" s="3" t="s">
        <v>168</v>
      </c>
      <c r="Z206" s="3">
        <v>0.0</v>
      </c>
      <c r="AA206" s="3">
        <v>1.0</v>
      </c>
      <c r="AH206" s="3">
        <v>-2.9E-4</v>
      </c>
      <c r="AI206" s="3">
        <v>4.0E-5</v>
      </c>
      <c r="AJ206" s="3">
        <v>2.0E-5</v>
      </c>
      <c r="AK206" s="3">
        <v>1.0E-6</v>
      </c>
      <c r="AN206" s="3">
        <v>1.0</v>
      </c>
      <c r="AP206" s="3" t="s">
        <v>543</v>
      </c>
      <c r="AR206" s="3">
        <v>486.0</v>
      </c>
    </row>
    <row r="207" ht="15.75" customHeight="1">
      <c r="A207" s="4">
        <v>487.0</v>
      </c>
      <c r="B207" s="3" t="s">
        <v>545</v>
      </c>
      <c r="C207" s="3" t="s">
        <v>546</v>
      </c>
      <c r="D207" s="3"/>
      <c r="E207" s="3"/>
      <c r="F207" s="3" t="s">
        <v>76</v>
      </c>
      <c r="G207" s="3" t="s">
        <v>50</v>
      </c>
      <c r="H207" s="6" t="s">
        <v>77</v>
      </c>
      <c r="I207" s="3" t="s">
        <v>78</v>
      </c>
      <c r="J207" s="3">
        <v>0.04</v>
      </c>
      <c r="K207" s="3" t="s">
        <v>74</v>
      </c>
      <c r="L207" s="3" t="s">
        <v>71</v>
      </c>
      <c r="M207" s="4"/>
      <c r="N207" s="3" t="s">
        <v>75</v>
      </c>
      <c r="O207" s="3">
        <v>0.96</v>
      </c>
      <c r="U207" s="3" t="s">
        <v>67</v>
      </c>
      <c r="V207" s="3" t="s">
        <v>547</v>
      </c>
      <c r="Z207" s="3">
        <v>0.0</v>
      </c>
      <c r="AA207" s="3">
        <v>1.0</v>
      </c>
      <c r="AE207" s="3">
        <v>0.426</v>
      </c>
      <c r="AN207" s="3">
        <v>1.0</v>
      </c>
      <c r="AP207" s="3" t="s">
        <v>545</v>
      </c>
      <c r="AR207" s="3">
        <v>487.0</v>
      </c>
    </row>
    <row r="208" ht="15.75" customHeight="1">
      <c r="A208" s="4">
        <v>503.0</v>
      </c>
      <c r="B208" s="3" t="s">
        <v>548</v>
      </c>
      <c r="C208" s="3" t="s">
        <v>549</v>
      </c>
      <c r="D208" s="2"/>
      <c r="E208" s="2" t="b">
        <v>0</v>
      </c>
      <c r="F208" s="3" t="s">
        <v>106</v>
      </c>
      <c r="G208" s="3" t="s">
        <v>50</v>
      </c>
      <c r="H208" s="6" t="s">
        <v>107</v>
      </c>
      <c r="I208" s="3" t="s">
        <v>108</v>
      </c>
      <c r="K208" s="3" t="s">
        <v>124</v>
      </c>
      <c r="L208" s="3" t="s">
        <v>50</v>
      </c>
      <c r="M208" s="8" t="s">
        <v>255</v>
      </c>
      <c r="N208" s="3" t="s">
        <v>126</v>
      </c>
      <c r="U208" s="3" t="s">
        <v>56</v>
      </c>
      <c r="V208" s="3" t="s">
        <v>144</v>
      </c>
      <c r="Z208" s="3">
        <v>0.0</v>
      </c>
      <c r="AA208" s="3">
        <v>1.0</v>
      </c>
      <c r="AC208" s="3">
        <v>3.0</v>
      </c>
      <c r="AH208" s="3">
        <v>-0.0156</v>
      </c>
      <c r="AJ208" s="3">
        <v>22.6</v>
      </c>
      <c r="AN208" s="3">
        <v>1.0</v>
      </c>
      <c r="AP208" s="3" t="s">
        <v>548</v>
      </c>
      <c r="AR208" s="3">
        <v>503.0</v>
      </c>
      <c r="AS208" s="3">
        <v>118.0</v>
      </c>
      <c r="AT208" s="3" t="s">
        <v>59</v>
      </c>
    </row>
    <row r="209" ht="15.75" customHeight="1">
      <c r="A209" s="4">
        <v>504.0</v>
      </c>
      <c r="B209" s="3" t="s">
        <v>550</v>
      </c>
      <c r="C209" s="3" t="s">
        <v>549</v>
      </c>
      <c r="D209" s="2"/>
      <c r="E209" s="2" t="b">
        <v>0</v>
      </c>
      <c r="F209" s="3" t="s">
        <v>106</v>
      </c>
      <c r="G209" s="3" t="s">
        <v>50</v>
      </c>
      <c r="H209" s="6" t="s">
        <v>107</v>
      </c>
      <c r="I209" s="3" t="s">
        <v>108</v>
      </c>
      <c r="K209" s="3" t="s">
        <v>76</v>
      </c>
      <c r="L209" s="3" t="s">
        <v>50</v>
      </c>
      <c r="M209" s="6" t="s">
        <v>77</v>
      </c>
      <c r="N209" s="3" t="s">
        <v>78</v>
      </c>
      <c r="U209" s="3" t="s">
        <v>56</v>
      </c>
      <c r="V209" s="3" t="s">
        <v>455</v>
      </c>
      <c r="W209" s="3">
        <v>390.0</v>
      </c>
      <c r="X209" s="3">
        <v>555.0</v>
      </c>
      <c r="Y209" s="3" t="s">
        <v>178</v>
      </c>
      <c r="Z209" s="3">
        <v>0.0</v>
      </c>
      <c r="AA209" s="3">
        <v>1.0</v>
      </c>
      <c r="AC209" s="3">
        <v>3.0</v>
      </c>
      <c r="AH209" s="3">
        <v>-0.0229</v>
      </c>
      <c r="AJ209" s="3">
        <v>29.8</v>
      </c>
      <c r="AN209" s="3">
        <v>1.0</v>
      </c>
      <c r="AP209" s="3" t="s">
        <v>550</v>
      </c>
      <c r="AR209" s="3">
        <v>504.0</v>
      </c>
      <c r="AS209" s="3">
        <v>118.0</v>
      </c>
      <c r="AT209" s="3" t="s">
        <v>59</v>
      </c>
    </row>
    <row r="210" ht="15.75" customHeight="1">
      <c r="A210" s="4">
        <v>505.0</v>
      </c>
      <c r="B210" s="3" t="s">
        <v>551</v>
      </c>
      <c r="C210" s="3" t="s">
        <v>549</v>
      </c>
      <c r="D210" s="2"/>
      <c r="E210" s="2" t="b">
        <v>0</v>
      </c>
      <c r="F210" s="3" t="s">
        <v>124</v>
      </c>
      <c r="G210" s="3" t="s">
        <v>50</v>
      </c>
      <c r="H210" s="8" t="s">
        <v>255</v>
      </c>
      <c r="I210" s="3" t="s">
        <v>126</v>
      </c>
      <c r="K210" s="3" t="s">
        <v>76</v>
      </c>
      <c r="L210" s="3" t="s">
        <v>50</v>
      </c>
      <c r="M210" s="6" t="s">
        <v>77</v>
      </c>
      <c r="N210" s="3" t="s">
        <v>78</v>
      </c>
      <c r="U210" s="3" t="s">
        <v>56</v>
      </c>
      <c r="V210" s="3" t="s">
        <v>144</v>
      </c>
      <c r="Z210" s="3">
        <v>0.0</v>
      </c>
      <c r="AA210" s="3">
        <v>1.0</v>
      </c>
      <c r="AC210" s="3">
        <v>3.0</v>
      </c>
      <c r="AH210" s="3">
        <v>0.117</v>
      </c>
      <c r="AJ210" s="3">
        <v>60.9</v>
      </c>
      <c r="AN210" s="3">
        <v>1.0</v>
      </c>
      <c r="AP210" s="3" t="s">
        <v>551</v>
      </c>
      <c r="AR210" s="3">
        <v>505.0</v>
      </c>
      <c r="AS210" s="3">
        <v>118.0</v>
      </c>
      <c r="AT210" s="3" t="s">
        <v>59</v>
      </c>
    </row>
    <row r="211" ht="15.75" customHeight="1">
      <c r="A211" s="4">
        <v>511.0</v>
      </c>
      <c r="B211" s="3" t="s">
        <v>552</v>
      </c>
      <c r="C211" s="3" t="s">
        <v>553</v>
      </c>
      <c r="D211" s="3"/>
      <c r="E211" s="3"/>
      <c r="F211" s="3" t="s">
        <v>106</v>
      </c>
      <c r="G211" s="3" t="s">
        <v>50</v>
      </c>
      <c r="H211" s="6" t="s">
        <v>107</v>
      </c>
      <c r="I211" s="3" t="s">
        <v>108</v>
      </c>
      <c r="K211" s="3" t="s">
        <v>115</v>
      </c>
      <c r="L211" s="3" t="s">
        <v>50</v>
      </c>
      <c r="M211" s="8" t="s">
        <v>116</v>
      </c>
      <c r="N211" s="3" t="s">
        <v>117</v>
      </c>
      <c r="U211" s="3" t="s">
        <v>56</v>
      </c>
      <c r="V211" s="3" t="s">
        <v>79</v>
      </c>
      <c r="W211" s="3">
        <v>298.0</v>
      </c>
      <c r="Y211" s="3" t="s">
        <v>178</v>
      </c>
      <c r="Z211" s="3">
        <v>0.0</v>
      </c>
      <c r="AA211" s="3">
        <v>1.0</v>
      </c>
      <c r="AH211" s="3">
        <v>0.019</v>
      </c>
      <c r="AI211" s="3">
        <v>0.005</v>
      </c>
      <c r="AJ211" s="3">
        <v>21.6</v>
      </c>
      <c r="AK211" s="3">
        <v>2.2</v>
      </c>
      <c r="AN211" s="3">
        <v>1.0</v>
      </c>
      <c r="AP211" s="3" t="s">
        <v>552</v>
      </c>
      <c r="AR211" s="3">
        <v>511.0</v>
      </c>
      <c r="AS211" s="3">
        <v>101.0</v>
      </c>
      <c r="AT211" s="3" t="s">
        <v>59</v>
      </c>
    </row>
    <row r="212" ht="15.75" customHeight="1">
      <c r="A212" s="4">
        <v>513.0</v>
      </c>
      <c r="C212" s="3" t="s">
        <v>554</v>
      </c>
      <c r="D212" s="2"/>
      <c r="E212" s="2" t="b">
        <v>1</v>
      </c>
      <c r="F212" s="3" t="s">
        <v>300</v>
      </c>
      <c r="G212" s="3" t="s">
        <v>50</v>
      </c>
      <c r="H212" s="8" t="s">
        <v>341</v>
      </c>
      <c r="I212" s="3" t="s">
        <v>302</v>
      </c>
      <c r="K212" s="3" t="s">
        <v>555</v>
      </c>
      <c r="L212" s="3" t="s">
        <v>50</v>
      </c>
      <c r="M212" s="8" t="s">
        <v>556</v>
      </c>
      <c r="N212" s="3" t="s">
        <v>557</v>
      </c>
      <c r="U212" s="3" t="s">
        <v>196</v>
      </c>
      <c r="V212" s="3" t="s">
        <v>68</v>
      </c>
      <c r="W212" s="3">
        <v>167.0</v>
      </c>
      <c r="Y212" s="3" t="s">
        <v>58</v>
      </c>
      <c r="Z212" s="3">
        <v>0.0</v>
      </c>
      <c r="AA212" s="3">
        <v>0.0</v>
      </c>
      <c r="AC212" s="3">
        <v>2.0</v>
      </c>
      <c r="AD212" s="3">
        <v>5.0</v>
      </c>
      <c r="AE212" s="3">
        <v>6.0</v>
      </c>
      <c r="AN212" s="3">
        <v>0.0</v>
      </c>
      <c r="AQ212" s="3" t="s">
        <v>558</v>
      </c>
      <c r="AR212" s="3">
        <v>513.0</v>
      </c>
    </row>
    <row r="213" ht="15.75" customHeight="1">
      <c r="A213" s="4">
        <v>518.0</v>
      </c>
      <c r="B213" s="3" t="s">
        <v>559</v>
      </c>
      <c r="C213" s="3" t="s">
        <v>560</v>
      </c>
      <c r="D213" s="3"/>
      <c r="E213" s="3"/>
      <c r="F213" s="3" t="s">
        <v>258</v>
      </c>
      <c r="G213" s="3" t="s">
        <v>50</v>
      </c>
      <c r="H213" s="6" t="s">
        <v>259</v>
      </c>
      <c r="I213" s="3" t="s">
        <v>260</v>
      </c>
      <c r="K213" s="21" t="s">
        <v>321</v>
      </c>
      <c r="L213" s="21" t="s">
        <v>71</v>
      </c>
      <c r="M213" s="4"/>
      <c r="U213" s="3" t="s">
        <v>196</v>
      </c>
      <c r="V213" s="3" t="s">
        <v>152</v>
      </c>
      <c r="Z213" s="3">
        <v>0.0</v>
      </c>
      <c r="AA213" s="3">
        <v>1.0</v>
      </c>
      <c r="AN213" s="3">
        <v>1.0</v>
      </c>
      <c r="AP213" s="3" t="s">
        <v>559</v>
      </c>
      <c r="AQ213" s="3" t="s">
        <v>561</v>
      </c>
      <c r="AR213" s="3">
        <v>518.0</v>
      </c>
    </row>
    <row r="214" ht="15.75" customHeight="1">
      <c r="A214" s="4">
        <v>543.0</v>
      </c>
      <c r="B214" s="3" t="s">
        <v>562</v>
      </c>
      <c r="C214" s="3" t="s">
        <v>563</v>
      </c>
      <c r="D214" s="2"/>
      <c r="E214" s="2" t="b">
        <v>1</v>
      </c>
      <c r="F214" s="3" t="s">
        <v>349</v>
      </c>
      <c r="G214" s="3" t="s">
        <v>50</v>
      </c>
      <c r="H214" s="6" t="s">
        <v>350</v>
      </c>
      <c r="I214" s="3" t="s">
        <v>351</v>
      </c>
      <c r="K214" s="3" t="s">
        <v>174</v>
      </c>
      <c r="L214" s="3" t="s">
        <v>50</v>
      </c>
      <c r="M214" s="6" t="s">
        <v>175</v>
      </c>
      <c r="N214" s="3" t="s">
        <v>176</v>
      </c>
      <c r="U214" s="3" t="s">
        <v>538</v>
      </c>
      <c r="V214" s="3" t="s">
        <v>68</v>
      </c>
      <c r="W214" s="3">
        <v>190.0</v>
      </c>
      <c r="Y214" s="3" t="s">
        <v>58</v>
      </c>
      <c r="Z214" s="3">
        <v>0.0</v>
      </c>
      <c r="AA214" s="3">
        <v>1.0</v>
      </c>
      <c r="AE214" s="3">
        <v>45.6</v>
      </c>
      <c r="AN214" s="3">
        <v>1.0</v>
      </c>
      <c r="AP214" s="3" t="s">
        <v>562</v>
      </c>
      <c r="AQ214" s="3" t="s">
        <v>564</v>
      </c>
      <c r="AR214" s="3">
        <v>543.0</v>
      </c>
    </row>
    <row r="215" ht="15.75" customHeight="1">
      <c r="A215" s="4">
        <v>545.0</v>
      </c>
      <c r="B215" s="3" t="s">
        <v>565</v>
      </c>
      <c r="C215" s="3" t="s">
        <v>566</v>
      </c>
      <c r="D215" s="3"/>
      <c r="E215" s="3"/>
      <c r="F215" s="3" t="s">
        <v>106</v>
      </c>
      <c r="G215" s="3" t="s">
        <v>50</v>
      </c>
      <c r="H215" s="6" t="s">
        <v>107</v>
      </c>
      <c r="I215" s="3" t="s">
        <v>108</v>
      </c>
      <c r="K215" s="3" t="s">
        <v>567</v>
      </c>
      <c r="L215" s="3" t="s">
        <v>71</v>
      </c>
      <c r="M215" s="4"/>
      <c r="U215" s="3" t="s">
        <v>67</v>
      </c>
      <c r="V215" s="3" t="s">
        <v>177</v>
      </c>
      <c r="Z215" s="3">
        <v>0.0</v>
      </c>
      <c r="AA215" s="3">
        <v>0.0</v>
      </c>
      <c r="AC215" s="3">
        <v>1.0</v>
      </c>
      <c r="AE215" s="3">
        <v>0.72</v>
      </c>
      <c r="AN215" s="3">
        <v>0.0</v>
      </c>
      <c r="AP215" s="3" t="s">
        <v>565</v>
      </c>
      <c r="AQ215" s="3" t="s">
        <v>568</v>
      </c>
      <c r="AR215" s="3">
        <v>545.0</v>
      </c>
    </row>
    <row r="216" ht="15.75" customHeight="1">
      <c r="A216" s="4">
        <v>546.0</v>
      </c>
      <c r="B216" s="3" t="s">
        <v>565</v>
      </c>
      <c r="C216" s="3" t="s">
        <v>566</v>
      </c>
      <c r="D216" s="3"/>
      <c r="E216" s="3"/>
      <c r="F216" s="3" t="s">
        <v>106</v>
      </c>
      <c r="G216" s="3" t="s">
        <v>50</v>
      </c>
      <c r="H216" s="6" t="s">
        <v>107</v>
      </c>
      <c r="I216" s="3" t="s">
        <v>108</v>
      </c>
      <c r="K216" s="3" t="s">
        <v>569</v>
      </c>
      <c r="L216" s="3" t="s">
        <v>71</v>
      </c>
      <c r="M216" s="4"/>
      <c r="U216" s="3" t="s">
        <v>67</v>
      </c>
      <c r="V216" s="3" t="s">
        <v>177</v>
      </c>
      <c r="Z216" s="3">
        <v>0.0</v>
      </c>
      <c r="AA216" s="3">
        <v>0.0</v>
      </c>
      <c r="AC216" s="3">
        <v>1.0</v>
      </c>
      <c r="AE216" s="3">
        <v>0.28</v>
      </c>
      <c r="AN216" s="3">
        <v>0.0</v>
      </c>
      <c r="AP216" s="3" t="s">
        <v>565</v>
      </c>
      <c r="AQ216" s="3" t="s">
        <v>568</v>
      </c>
      <c r="AR216" s="3">
        <v>546.0</v>
      </c>
    </row>
    <row r="217" ht="15.75" customHeight="1">
      <c r="A217" s="4">
        <v>547.0</v>
      </c>
      <c r="B217" s="3" t="s">
        <v>565</v>
      </c>
      <c r="C217" s="3" t="s">
        <v>566</v>
      </c>
      <c r="D217" s="2"/>
      <c r="E217" s="2" t="b">
        <v>1</v>
      </c>
      <c r="F217" s="3" t="s">
        <v>106</v>
      </c>
      <c r="G217" s="3" t="s">
        <v>50</v>
      </c>
      <c r="H217" s="6" t="s">
        <v>107</v>
      </c>
      <c r="I217" s="3" t="s">
        <v>108</v>
      </c>
      <c r="K217" s="3" t="s">
        <v>570</v>
      </c>
      <c r="L217" s="3" t="s">
        <v>71</v>
      </c>
      <c r="M217" s="4"/>
      <c r="U217" s="3" t="s">
        <v>67</v>
      </c>
      <c r="V217" s="3" t="s">
        <v>68</v>
      </c>
      <c r="W217" s="3">
        <v>65.0</v>
      </c>
      <c r="Y217" s="3" t="s">
        <v>58</v>
      </c>
      <c r="Z217" s="3">
        <v>0.0</v>
      </c>
      <c r="AA217" s="3">
        <v>0.0</v>
      </c>
      <c r="AC217" s="3">
        <v>1.0</v>
      </c>
      <c r="AE217" s="3">
        <v>0.33</v>
      </c>
      <c r="AN217" s="3">
        <v>0.0</v>
      </c>
      <c r="AP217" s="3" t="s">
        <v>565</v>
      </c>
      <c r="AR217" s="3">
        <v>547.0</v>
      </c>
    </row>
    <row r="218" ht="15.75" customHeight="1">
      <c r="A218" s="4">
        <v>548.0</v>
      </c>
      <c r="B218" s="3" t="s">
        <v>565</v>
      </c>
      <c r="C218" s="3" t="s">
        <v>566</v>
      </c>
      <c r="D218" s="2"/>
      <c r="E218" s="2" t="b">
        <v>1</v>
      </c>
      <c r="F218" s="3" t="s">
        <v>106</v>
      </c>
      <c r="G218" s="3" t="s">
        <v>50</v>
      </c>
      <c r="H218" s="6" t="s">
        <v>107</v>
      </c>
      <c r="I218" s="3" t="s">
        <v>108</v>
      </c>
      <c r="K218" s="3" t="s">
        <v>321</v>
      </c>
      <c r="L218" s="3" t="s">
        <v>71</v>
      </c>
      <c r="M218" s="4"/>
      <c r="U218" s="3" t="s">
        <v>67</v>
      </c>
      <c r="V218" s="3" t="s">
        <v>68</v>
      </c>
      <c r="W218" s="3">
        <v>65.0</v>
      </c>
      <c r="Y218" s="3" t="s">
        <v>58</v>
      </c>
      <c r="Z218" s="3">
        <v>0.0</v>
      </c>
      <c r="AA218" s="3">
        <v>0.0</v>
      </c>
      <c r="AC218" s="3">
        <v>1.0</v>
      </c>
      <c r="AE218" s="3">
        <v>0.35</v>
      </c>
      <c r="AN218" s="3">
        <v>0.0</v>
      </c>
      <c r="AP218" s="3" t="s">
        <v>565</v>
      </c>
      <c r="AR218" s="3">
        <v>548.0</v>
      </c>
    </row>
    <row r="219" ht="15.75" customHeight="1">
      <c r="A219" s="4">
        <v>549.0</v>
      </c>
      <c r="B219" s="3" t="s">
        <v>565</v>
      </c>
      <c r="C219" s="3" t="s">
        <v>566</v>
      </c>
      <c r="D219" s="2"/>
      <c r="E219" s="2" t="b">
        <v>1</v>
      </c>
      <c r="F219" s="3" t="s">
        <v>106</v>
      </c>
      <c r="G219" s="3" t="s">
        <v>50</v>
      </c>
      <c r="H219" s="6" t="s">
        <v>107</v>
      </c>
      <c r="I219" s="3" t="s">
        <v>108</v>
      </c>
      <c r="K219" s="3" t="s">
        <v>571</v>
      </c>
      <c r="L219" s="3" t="s">
        <v>71</v>
      </c>
      <c r="M219" s="4"/>
      <c r="U219" s="3" t="s">
        <v>67</v>
      </c>
      <c r="V219" s="3" t="s">
        <v>68</v>
      </c>
      <c r="W219" s="3">
        <v>65.0</v>
      </c>
      <c r="Y219" s="3" t="s">
        <v>58</v>
      </c>
      <c r="Z219" s="3">
        <v>0.0</v>
      </c>
      <c r="AA219" s="3">
        <v>0.0</v>
      </c>
      <c r="AC219" s="3">
        <v>1.0</v>
      </c>
      <c r="AE219" s="3">
        <v>0.38</v>
      </c>
      <c r="AN219" s="3">
        <v>0.0</v>
      </c>
      <c r="AP219" s="3" t="s">
        <v>565</v>
      </c>
      <c r="AR219" s="3">
        <v>549.0</v>
      </c>
    </row>
    <row r="220" ht="15.75" customHeight="1">
      <c r="A220" s="4">
        <v>550.0</v>
      </c>
      <c r="B220" s="3" t="s">
        <v>565</v>
      </c>
      <c r="C220" s="3" t="s">
        <v>566</v>
      </c>
      <c r="D220" s="3"/>
      <c r="E220" s="3"/>
      <c r="F220" s="3" t="s">
        <v>49</v>
      </c>
      <c r="G220" s="3" t="s">
        <v>50</v>
      </c>
      <c r="H220" s="6" t="s">
        <v>51</v>
      </c>
      <c r="I220" s="3" t="s">
        <v>52</v>
      </c>
      <c r="K220" s="3" t="s">
        <v>569</v>
      </c>
      <c r="L220" s="3" t="s">
        <v>71</v>
      </c>
      <c r="M220" s="4"/>
      <c r="U220" s="3" t="s">
        <v>67</v>
      </c>
      <c r="V220" s="3" t="s">
        <v>177</v>
      </c>
      <c r="Z220" s="3">
        <v>0.0</v>
      </c>
      <c r="AA220" s="3">
        <v>0.0</v>
      </c>
      <c r="AC220" s="3">
        <v>1.0</v>
      </c>
      <c r="AE220" s="3">
        <v>2.03</v>
      </c>
      <c r="AN220" s="3">
        <v>0.0</v>
      </c>
      <c r="AP220" s="3" t="s">
        <v>565</v>
      </c>
      <c r="AQ220" s="3" t="s">
        <v>568</v>
      </c>
      <c r="AR220" s="3">
        <v>550.0</v>
      </c>
    </row>
    <row r="221" ht="15.75" customHeight="1">
      <c r="A221" s="4">
        <v>551.0</v>
      </c>
      <c r="B221" s="3" t="s">
        <v>565</v>
      </c>
      <c r="C221" s="3" t="s">
        <v>566</v>
      </c>
      <c r="D221" s="3"/>
      <c r="E221" s="3"/>
      <c r="F221" s="3" t="s">
        <v>49</v>
      </c>
      <c r="G221" s="3" t="s">
        <v>50</v>
      </c>
      <c r="H221" s="6" t="s">
        <v>51</v>
      </c>
      <c r="I221" s="3" t="s">
        <v>52</v>
      </c>
      <c r="K221" s="3" t="s">
        <v>567</v>
      </c>
      <c r="L221" s="3" t="s">
        <v>71</v>
      </c>
      <c r="M221" s="4"/>
      <c r="U221" s="3" t="s">
        <v>67</v>
      </c>
      <c r="V221" s="3" t="s">
        <v>177</v>
      </c>
      <c r="Z221" s="3">
        <v>0.0</v>
      </c>
      <c r="AA221" s="3">
        <v>0.0</v>
      </c>
      <c r="AC221" s="3">
        <v>1.0</v>
      </c>
      <c r="AE221" s="3">
        <v>3.18</v>
      </c>
      <c r="AN221" s="3">
        <v>0.0</v>
      </c>
      <c r="AP221" s="3" t="s">
        <v>565</v>
      </c>
      <c r="AQ221" s="3" t="s">
        <v>568</v>
      </c>
      <c r="AR221" s="3">
        <v>551.0</v>
      </c>
    </row>
    <row r="222" ht="15.75" customHeight="1">
      <c r="A222" s="4">
        <v>552.0</v>
      </c>
      <c r="B222" s="3" t="s">
        <v>565</v>
      </c>
      <c r="C222" s="3" t="s">
        <v>566</v>
      </c>
      <c r="D222" s="2"/>
      <c r="E222" s="2" t="b">
        <v>1</v>
      </c>
      <c r="F222" s="3" t="s">
        <v>49</v>
      </c>
      <c r="G222" s="3" t="s">
        <v>50</v>
      </c>
      <c r="H222" s="6" t="s">
        <v>51</v>
      </c>
      <c r="I222" s="3" t="s">
        <v>52</v>
      </c>
      <c r="K222" s="3" t="s">
        <v>570</v>
      </c>
      <c r="L222" s="3" t="s">
        <v>71</v>
      </c>
      <c r="M222" s="4"/>
      <c r="U222" s="3" t="s">
        <v>67</v>
      </c>
      <c r="V222" s="3" t="s">
        <v>68</v>
      </c>
      <c r="W222" s="3">
        <v>65.0</v>
      </c>
      <c r="Y222" s="3" t="s">
        <v>58</v>
      </c>
      <c r="Z222" s="3">
        <v>0.0</v>
      </c>
      <c r="AA222" s="3">
        <v>0.0</v>
      </c>
      <c r="AC222" s="3">
        <v>1.0</v>
      </c>
      <c r="AE222" s="3">
        <v>2.37</v>
      </c>
      <c r="AN222" s="3">
        <v>0.0</v>
      </c>
      <c r="AP222" s="3" t="s">
        <v>565</v>
      </c>
      <c r="AR222" s="3">
        <v>552.0</v>
      </c>
    </row>
    <row r="223" ht="15.75" customHeight="1">
      <c r="A223" s="4">
        <v>553.0</v>
      </c>
      <c r="B223" s="3" t="s">
        <v>565</v>
      </c>
      <c r="C223" s="3" t="s">
        <v>566</v>
      </c>
      <c r="D223" s="2"/>
      <c r="E223" s="2" t="b">
        <v>1</v>
      </c>
      <c r="F223" s="3" t="s">
        <v>49</v>
      </c>
      <c r="G223" s="3" t="s">
        <v>50</v>
      </c>
      <c r="H223" s="6" t="s">
        <v>51</v>
      </c>
      <c r="I223" s="3" t="s">
        <v>52</v>
      </c>
      <c r="K223" s="3" t="s">
        <v>321</v>
      </c>
      <c r="L223" s="3" t="s">
        <v>71</v>
      </c>
      <c r="M223" s="4"/>
      <c r="U223" s="3" t="s">
        <v>67</v>
      </c>
      <c r="V223" s="3" t="s">
        <v>68</v>
      </c>
      <c r="W223" s="3">
        <v>65.0</v>
      </c>
      <c r="Y223" s="3" t="s">
        <v>58</v>
      </c>
      <c r="Z223" s="3">
        <v>0.0</v>
      </c>
      <c r="AA223" s="3">
        <v>0.0</v>
      </c>
      <c r="AC223" s="3">
        <v>1.0</v>
      </c>
      <c r="AE223" s="3">
        <v>2.45</v>
      </c>
      <c r="AN223" s="3">
        <v>0.0</v>
      </c>
      <c r="AP223" s="3" t="s">
        <v>565</v>
      </c>
      <c r="AR223" s="3">
        <v>553.0</v>
      </c>
    </row>
    <row r="224" ht="15.75" customHeight="1">
      <c r="A224" s="4">
        <v>554.0</v>
      </c>
      <c r="B224" s="3" t="s">
        <v>565</v>
      </c>
      <c r="C224" s="3" t="s">
        <v>566</v>
      </c>
      <c r="D224" s="2"/>
      <c r="E224" s="2" t="b">
        <v>1</v>
      </c>
      <c r="F224" s="3" t="s">
        <v>49</v>
      </c>
      <c r="G224" s="3" t="s">
        <v>50</v>
      </c>
      <c r="H224" s="6" t="s">
        <v>51</v>
      </c>
      <c r="I224" s="3" t="s">
        <v>52</v>
      </c>
      <c r="K224" s="3" t="s">
        <v>571</v>
      </c>
      <c r="L224" s="3" t="s">
        <v>71</v>
      </c>
      <c r="M224" s="4"/>
      <c r="U224" s="3" t="s">
        <v>67</v>
      </c>
      <c r="V224" s="3" t="s">
        <v>68</v>
      </c>
      <c r="W224" s="3">
        <v>65.0</v>
      </c>
      <c r="Y224" s="3" t="s">
        <v>58</v>
      </c>
      <c r="Z224" s="3">
        <v>0.0</v>
      </c>
      <c r="AA224" s="3">
        <v>0.0</v>
      </c>
      <c r="AC224" s="3">
        <v>1.0</v>
      </c>
      <c r="AE224" s="3">
        <v>2.38</v>
      </c>
      <c r="AN224" s="3">
        <v>0.0</v>
      </c>
      <c r="AP224" s="3" t="s">
        <v>565</v>
      </c>
      <c r="AR224" s="3">
        <v>554.0</v>
      </c>
    </row>
    <row r="225" ht="15.75" customHeight="1">
      <c r="A225" s="4">
        <v>555.0</v>
      </c>
      <c r="B225" s="3" t="s">
        <v>565</v>
      </c>
      <c r="C225" s="3" t="s">
        <v>566</v>
      </c>
      <c r="D225" s="2"/>
      <c r="E225" s="2" t="b">
        <v>1</v>
      </c>
      <c r="F225" s="3" t="s">
        <v>106</v>
      </c>
      <c r="G225" s="3" t="s">
        <v>50</v>
      </c>
      <c r="H225" s="6" t="s">
        <v>107</v>
      </c>
      <c r="I225" s="3" t="s">
        <v>108</v>
      </c>
      <c r="K225" s="3" t="s">
        <v>154</v>
      </c>
      <c r="L225" s="3" t="s">
        <v>71</v>
      </c>
      <c r="M225" s="4"/>
      <c r="U225" s="3" t="s">
        <v>67</v>
      </c>
      <c r="V225" s="3" t="s">
        <v>68</v>
      </c>
      <c r="W225" s="3">
        <v>65.0</v>
      </c>
      <c r="Y225" s="3" t="s">
        <v>58</v>
      </c>
      <c r="Z225" s="3">
        <v>0.0</v>
      </c>
      <c r="AA225" s="3">
        <v>0.0</v>
      </c>
      <c r="AC225" s="3">
        <v>1.0</v>
      </c>
      <c r="AE225" s="3">
        <v>0.04</v>
      </c>
      <c r="AN225" s="3">
        <v>0.0</v>
      </c>
      <c r="AP225" s="3" t="s">
        <v>565</v>
      </c>
      <c r="AR225" s="3">
        <v>555.0</v>
      </c>
    </row>
    <row r="226" ht="15.75" customHeight="1">
      <c r="A226" s="4">
        <v>557.0</v>
      </c>
      <c r="B226" s="3" t="s">
        <v>565</v>
      </c>
      <c r="C226" s="3" t="s">
        <v>566</v>
      </c>
      <c r="D226" s="3"/>
      <c r="E226" s="3"/>
      <c r="F226" s="3" t="s">
        <v>106</v>
      </c>
      <c r="G226" s="3" t="s">
        <v>50</v>
      </c>
      <c r="H226" s="6" t="s">
        <v>107</v>
      </c>
      <c r="I226" s="3" t="s">
        <v>108</v>
      </c>
      <c r="K226" s="3" t="s">
        <v>572</v>
      </c>
      <c r="L226" s="3" t="s">
        <v>71</v>
      </c>
      <c r="M226" s="4"/>
      <c r="N226" s="3" t="s">
        <v>573</v>
      </c>
      <c r="U226" s="3" t="s">
        <v>67</v>
      </c>
      <c r="V226" s="3" t="s">
        <v>177</v>
      </c>
      <c r="Z226" s="3">
        <v>0.0</v>
      </c>
      <c r="AA226" s="3">
        <v>0.0</v>
      </c>
      <c r="AC226" s="3">
        <v>1.0</v>
      </c>
      <c r="AE226" s="3">
        <v>0.03</v>
      </c>
      <c r="AN226" s="3">
        <v>0.0</v>
      </c>
      <c r="AP226" s="3" t="s">
        <v>565</v>
      </c>
      <c r="AQ226" s="3" t="s">
        <v>568</v>
      </c>
      <c r="AR226" s="3">
        <v>557.0</v>
      </c>
    </row>
    <row r="227" ht="15.75" customHeight="1">
      <c r="A227" s="4">
        <v>559.0</v>
      </c>
      <c r="B227" s="3" t="s">
        <v>565</v>
      </c>
      <c r="C227" s="3" t="s">
        <v>566</v>
      </c>
      <c r="D227" s="3"/>
      <c r="E227" s="3"/>
      <c r="F227" s="3" t="s">
        <v>106</v>
      </c>
      <c r="G227" s="3" t="s">
        <v>50</v>
      </c>
      <c r="H227" s="6" t="s">
        <v>107</v>
      </c>
      <c r="I227" s="3" t="s">
        <v>108</v>
      </c>
      <c r="K227" s="3" t="s">
        <v>574</v>
      </c>
      <c r="L227" s="3" t="s">
        <v>71</v>
      </c>
      <c r="M227" s="4"/>
      <c r="U227" s="3" t="s">
        <v>67</v>
      </c>
      <c r="V227" s="3" t="s">
        <v>177</v>
      </c>
      <c r="Z227" s="3">
        <v>0.0</v>
      </c>
      <c r="AA227" s="3">
        <v>0.0</v>
      </c>
      <c r="AC227" s="3">
        <v>1.0</v>
      </c>
      <c r="AE227" s="3">
        <v>0.22</v>
      </c>
      <c r="AN227" s="3">
        <v>0.0</v>
      </c>
      <c r="AP227" s="3" t="s">
        <v>565</v>
      </c>
      <c r="AQ227" s="3" t="s">
        <v>568</v>
      </c>
      <c r="AR227" s="3">
        <v>559.0</v>
      </c>
    </row>
    <row r="228" ht="15.75" customHeight="1">
      <c r="A228" s="4">
        <v>560.0</v>
      </c>
      <c r="B228" s="3" t="s">
        <v>565</v>
      </c>
      <c r="C228" s="3" t="s">
        <v>566</v>
      </c>
      <c r="D228" s="2"/>
      <c r="E228" s="2" t="b">
        <v>1</v>
      </c>
      <c r="F228" s="3" t="s">
        <v>49</v>
      </c>
      <c r="G228" s="3" t="s">
        <v>50</v>
      </c>
      <c r="H228" s="6" t="s">
        <v>51</v>
      </c>
      <c r="I228" s="3" t="s">
        <v>52</v>
      </c>
      <c r="K228" s="3" t="s">
        <v>154</v>
      </c>
      <c r="L228" s="3" t="s">
        <v>71</v>
      </c>
      <c r="M228" s="4"/>
      <c r="U228" s="3" t="s">
        <v>67</v>
      </c>
      <c r="V228" s="3" t="s">
        <v>68</v>
      </c>
      <c r="W228" s="3">
        <v>65.0</v>
      </c>
      <c r="Y228" s="3" t="s">
        <v>58</v>
      </c>
      <c r="Z228" s="3">
        <v>0.0</v>
      </c>
      <c r="AA228" s="3">
        <v>0.0</v>
      </c>
      <c r="AC228" s="3">
        <v>1.0</v>
      </c>
      <c r="AE228" s="3">
        <v>0.58</v>
      </c>
      <c r="AN228" s="3">
        <v>0.0</v>
      </c>
      <c r="AP228" s="3" t="s">
        <v>565</v>
      </c>
      <c r="AR228" s="3">
        <v>560.0</v>
      </c>
    </row>
    <row r="229" ht="15.75" customHeight="1">
      <c r="A229" s="4">
        <v>561.0</v>
      </c>
      <c r="B229" s="3" t="s">
        <v>565</v>
      </c>
      <c r="C229" s="3" t="s">
        <v>566</v>
      </c>
      <c r="D229" s="3"/>
      <c r="E229" s="3"/>
      <c r="F229" s="3" t="s">
        <v>49</v>
      </c>
      <c r="G229" s="3" t="s">
        <v>50</v>
      </c>
      <c r="H229" s="6" t="s">
        <v>51</v>
      </c>
      <c r="I229" s="3" t="s">
        <v>52</v>
      </c>
      <c r="K229" s="3" t="s">
        <v>572</v>
      </c>
      <c r="L229" s="3" t="s">
        <v>71</v>
      </c>
      <c r="M229" s="4"/>
      <c r="N229" s="3" t="s">
        <v>573</v>
      </c>
      <c r="U229" s="3" t="s">
        <v>67</v>
      </c>
      <c r="V229" s="3" t="s">
        <v>177</v>
      </c>
      <c r="Z229" s="3">
        <v>0.0</v>
      </c>
      <c r="AA229" s="3">
        <v>0.0</v>
      </c>
      <c r="AC229" s="3">
        <v>1.0</v>
      </c>
      <c r="AE229" s="3">
        <v>0.37</v>
      </c>
      <c r="AN229" s="3">
        <v>0.0</v>
      </c>
      <c r="AP229" s="3" t="s">
        <v>565</v>
      </c>
      <c r="AQ229" s="3" t="s">
        <v>568</v>
      </c>
      <c r="AR229" s="3">
        <v>561.0</v>
      </c>
    </row>
    <row r="230" ht="15.75" customHeight="1">
      <c r="A230" s="4">
        <v>562.0</v>
      </c>
      <c r="B230" s="3" t="s">
        <v>565</v>
      </c>
      <c r="C230" s="3" t="s">
        <v>566</v>
      </c>
      <c r="D230" s="3"/>
      <c r="E230" s="3"/>
      <c r="F230" s="3" t="s">
        <v>49</v>
      </c>
      <c r="G230" s="3" t="s">
        <v>50</v>
      </c>
      <c r="H230" s="6" t="s">
        <v>51</v>
      </c>
      <c r="I230" s="3" t="s">
        <v>52</v>
      </c>
      <c r="K230" s="3" t="s">
        <v>575</v>
      </c>
      <c r="L230" s="3" t="s">
        <v>71</v>
      </c>
      <c r="M230" s="4"/>
      <c r="U230" s="3" t="s">
        <v>67</v>
      </c>
      <c r="V230" s="3" t="s">
        <v>177</v>
      </c>
      <c r="Z230" s="3">
        <v>0.0</v>
      </c>
      <c r="AA230" s="3">
        <v>0.0</v>
      </c>
      <c r="AC230" s="3">
        <v>1.0</v>
      </c>
      <c r="AE230" s="3">
        <v>1.02</v>
      </c>
      <c r="AN230" s="3">
        <v>0.0</v>
      </c>
      <c r="AP230" s="3" t="s">
        <v>565</v>
      </c>
      <c r="AQ230" s="3" t="s">
        <v>568</v>
      </c>
      <c r="AR230" s="3">
        <v>562.0</v>
      </c>
    </row>
    <row r="231" ht="15.75" customHeight="1">
      <c r="A231" s="4">
        <v>563.0</v>
      </c>
      <c r="B231" s="3" t="s">
        <v>565</v>
      </c>
      <c r="C231" s="3" t="s">
        <v>566</v>
      </c>
      <c r="D231" s="3"/>
      <c r="E231" s="3"/>
      <c r="F231" s="3" t="s">
        <v>49</v>
      </c>
      <c r="G231" s="3" t="s">
        <v>50</v>
      </c>
      <c r="H231" s="6" t="s">
        <v>51</v>
      </c>
      <c r="I231" s="3" t="s">
        <v>52</v>
      </c>
      <c r="K231" s="3" t="s">
        <v>574</v>
      </c>
      <c r="L231" s="3" t="s">
        <v>71</v>
      </c>
      <c r="M231" s="4"/>
      <c r="U231" s="3" t="s">
        <v>67</v>
      </c>
      <c r="V231" s="3" t="s">
        <v>177</v>
      </c>
      <c r="Z231" s="3">
        <v>0.0</v>
      </c>
      <c r="AA231" s="3">
        <v>0.0</v>
      </c>
      <c r="AC231" s="3">
        <v>1.0</v>
      </c>
      <c r="AE231" s="3">
        <v>2.19</v>
      </c>
      <c r="AN231" s="3">
        <v>0.0</v>
      </c>
      <c r="AP231" s="3" t="s">
        <v>565</v>
      </c>
      <c r="AQ231" s="3" t="s">
        <v>568</v>
      </c>
      <c r="AR231" s="3">
        <v>563.0</v>
      </c>
    </row>
    <row r="232" ht="15.75" customHeight="1">
      <c r="A232" s="4">
        <v>564.0</v>
      </c>
      <c r="B232" s="3" t="s">
        <v>576</v>
      </c>
      <c r="C232" s="3" t="s">
        <v>577</v>
      </c>
      <c r="D232" s="2"/>
      <c r="E232" s="2" t="b">
        <v>0</v>
      </c>
      <c r="F232" s="3" t="s">
        <v>106</v>
      </c>
      <c r="G232" s="3" t="s">
        <v>50</v>
      </c>
      <c r="H232" s="6" t="s">
        <v>107</v>
      </c>
      <c r="I232" s="3" t="s">
        <v>108</v>
      </c>
      <c r="K232" s="3" t="s">
        <v>510</v>
      </c>
      <c r="L232" s="3" t="s">
        <v>50</v>
      </c>
      <c r="M232" s="6" t="s">
        <v>511</v>
      </c>
      <c r="N232" s="3" t="s">
        <v>512</v>
      </c>
      <c r="U232" s="3" t="s">
        <v>56</v>
      </c>
      <c r="V232" s="3" t="s">
        <v>270</v>
      </c>
      <c r="W232" s="3">
        <v>423.0</v>
      </c>
      <c r="X232" s="3">
        <v>488.0</v>
      </c>
      <c r="Y232" s="3" t="s">
        <v>178</v>
      </c>
      <c r="Z232" s="3">
        <v>0.0</v>
      </c>
      <c r="AA232" s="3">
        <v>1.0</v>
      </c>
      <c r="AD232" s="3">
        <v>5.0</v>
      </c>
      <c r="AH232" s="3">
        <v>0.035</v>
      </c>
      <c r="AJ232" s="3">
        <v>3.93</v>
      </c>
      <c r="AN232" s="3">
        <v>1.0</v>
      </c>
      <c r="AP232" s="3" t="s">
        <v>576</v>
      </c>
      <c r="AR232" s="3">
        <v>564.0</v>
      </c>
    </row>
    <row r="233" ht="15.75" customHeight="1">
      <c r="A233" s="4">
        <v>565.0</v>
      </c>
      <c r="B233" s="3" t="s">
        <v>578</v>
      </c>
      <c r="C233" s="3" t="s">
        <v>579</v>
      </c>
      <c r="D233" s="2"/>
      <c r="E233" s="2" t="b">
        <v>0</v>
      </c>
      <c r="F233" s="3" t="s">
        <v>106</v>
      </c>
      <c r="G233" s="3" t="s">
        <v>50</v>
      </c>
      <c r="H233" s="6" t="s">
        <v>107</v>
      </c>
      <c r="I233" s="3" t="s">
        <v>108</v>
      </c>
      <c r="K233" s="3" t="s">
        <v>115</v>
      </c>
      <c r="L233" s="3" t="s">
        <v>50</v>
      </c>
      <c r="M233" s="8" t="s">
        <v>116</v>
      </c>
      <c r="N233" s="3" t="s">
        <v>117</v>
      </c>
      <c r="P233" s="3"/>
      <c r="Q233" s="3"/>
      <c r="R233" s="3">
        <v>13.6</v>
      </c>
      <c r="S233" s="3">
        <v>33.7</v>
      </c>
      <c r="T233" s="3" t="s">
        <v>122</v>
      </c>
      <c r="U233" s="3" t="s">
        <v>56</v>
      </c>
      <c r="V233" s="3" t="s">
        <v>57</v>
      </c>
      <c r="Z233" s="3">
        <v>0.0</v>
      </c>
      <c r="AA233" s="3">
        <v>1.0</v>
      </c>
      <c r="AH233" s="3">
        <v>0.00659</v>
      </c>
      <c r="AJ233" s="3">
        <v>13.6</v>
      </c>
      <c r="AN233" s="3">
        <v>1.0</v>
      </c>
      <c r="AP233" s="3" t="s">
        <v>578</v>
      </c>
      <c r="AR233" s="3">
        <v>565.0</v>
      </c>
    </row>
    <row r="234" ht="15.75" customHeight="1">
      <c r="A234" s="4">
        <v>567.0</v>
      </c>
      <c r="B234" s="3" t="s">
        <v>580</v>
      </c>
      <c r="C234" s="3" t="s">
        <v>581</v>
      </c>
      <c r="D234" s="2"/>
      <c r="E234" s="2" t="b">
        <v>1</v>
      </c>
      <c r="F234" s="3" t="s">
        <v>198</v>
      </c>
      <c r="G234" s="3" t="s">
        <v>71</v>
      </c>
      <c r="H234" s="4"/>
      <c r="I234" s="3" t="s">
        <v>199</v>
      </c>
      <c r="K234" s="3" t="s">
        <v>582</v>
      </c>
      <c r="L234" s="3" t="s">
        <v>50</v>
      </c>
      <c r="M234" s="6" t="s">
        <v>583</v>
      </c>
      <c r="N234" s="3" t="s">
        <v>584</v>
      </c>
      <c r="U234" s="3" t="s">
        <v>67</v>
      </c>
      <c r="V234" s="3" t="s">
        <v>68</v>
      </c>
      <c r="W234" s="3">
        <v>30.0</v>
      </c>
      <c r="Y234" s="3" t="s">
        <v>58</v>
      </c>
      <c r="Z234" s="3">
        <v>0.0</v>
      </c>
      <c r="AA234" s="3">
        <v>0.0</v>
      </c>
      <c r="AC234" s="3">
        <v>5.0</v>
      </c>
      <c r="AE234" s="3">
        <v>3.78</v>
      </c>
      <c r="AN234" s="3">
        <v>1.0</v>
      </c>
      <c r="AP234" s="3" t="s">
        <v>580</v>
      </c>
      <c r="AR234" s="3">
        <v>567.0</v>
      </c>
    </row>
    <row r="235" ht="15.75" customHeight="1">
      <c r="A235" s="4">
        <v>568.0</v>
      </c>
      <c r="B235" s="3" t="s">
        <v>580</v>
      </c>
      <c r="C235" s="3" t="s">
        <v>581</v>
      </c>
      <c r="D235" s="2"/>
      <c r="E235" s="2" t="b">
        <v>1</v>
      </c>
      <c r="F235" s="3" t="s">
        <v>198</v>
      </c>
      <c r="G235" s="3" t="s">
        <v>71</v>
      </c>
      <c r="H235" s="4"/>
      <c r="I235" s="3" t="s">
        <v>199</v>
      </c>
      <c r="K235" s="3" t="s">
        <v>585</v>
      </c>
      <c r="L235" s="3" t="s">
        <v>50</v>
      </c>
      <c r="M235" s="6" t="s">
        <v>586</v>
      </c>
      <c r="U235" s="3" t="s">
        <v>67</v>
      </c>
      <c r="V235" s="3" t="s">
        <v>68</v>
      </c>
      <c r="W235" s="3">
        <v>30.0</v>
      </c>
      <c r="Y235" s="3" t="s">
        <v>58</v>
      </c>
      <c r="Z235" s="3">
        <v>0.0</v>
      </c>
      <c r="AA235" s="3">
        <v>0.0</v>
      </c>
      <c r="AC235" s="3">
        <v>4.0</v>
      </c>
      <c r="AE235" s="3">
        <v>1.84</v>
      </c>
      <c r="AN235" s="3">
        <v>1.0</v>
      </c>
      <c r="AP235" s="3" t="s">
        <v>580</v>
      </c>
      <c r="AR235" s="3">
        <v>568.0</v>
      </c>
    </row>
    <row r="236" ht="15.75" customHeight="1">
      <c r="A236" s="4">
        <v>569.0</v>
      </c>
      <c r="B236" s="3" t="s">
        <v>580</v>
      </c>
      <c r="C236" s="3" t="s">
        <v>581</v>
      </c>
      <c r="D236" s="2"/>
      <c r="E236" s="2" t="b">
        <v>1</v>
      </c>
      <c r="F236" s="3" t="s">
        <v>587</v>
      </c>
      <c r="G236" s="3" t="s">
        <v>71</v>
      </c>
      <c r="H236" s="4"/>
      <c r="I236" s="3" t="s">
        <v>588</v>
      </c>
      <c r="K236" s="3" t="s">
        <v>585</v>
      </c>
      <c r="L236" s="3" t="s">
        <v>50</v>
      </c>
      <c r="M236" s="6" t="s">
        <v>586</v>
      </c>
      <c r="U236" s="3" t="s">
        <v>67</v>
      </c>
      <c r="V236" s="3" t="s">
        <v>68</v>
      </c>
      <c r="W236" s="3">
        <v>30.0</v>
      </c>
      <c r="Y236" s="3" t="s">
        <v>58</v>
      </c>
      <c r="Z236" s="3">
        <v>0.0</v>
      </c>
      <c r="AA236" s="3">
        <v>0.0</v>
      </c>
      <c r="AC236" s="3">
        <v>6.0</v>
      </c>
      <c r="AE236" s="3">
        <v>3.04</v>
      </c>
      <c r="AN236" s="3">
        <v>1.0</v>
      </c>
      <c r="AP236" s="3" t="s">
        <v>580</v>
      </c>
      <c r="AR236" s="3">
        <v>569.0</v>
      </c>
    </row>
    <row r="237" ht="15.75" customHeight="1">
      <c r="A237" s="4">
        <v>570.0</v>
      </c>
      <c r="B237" s="3" t="s">
        <v>580</v>
      </c>
      <c r="C237" s="3" t="s">
        <v>581</v>
      </c>
      <c r="D237" s="2"/>
      <c r="E237" s="2" t="b">
        <v>1</v>
      </c>
      <c r="F237" s="3" t="s">
        <v>587</v>
      </c>
      <c r="G237" s="3" t="s">
        <v>71</v>
      </c>
      <c r="H237" s="4"/>
      <c r="I237" s="3" t="s">
        <v>588</v>
      </c>
      <c r="K237" s="3" t="s">
        <v>582</v>
      </c>
      <c r="L237" s="3" t="s">
        <v>50</v>
      </c>
      <c r="M237" s="6" t="s">
        <v>583</v>
      </c>
      <c r="N237" s="3" t="s">
        <v>584</v>
      </c>
      <c r="U237" s="3" t="s">
        <v>67</v>
      </c>
      <c r="V237" s="3" t="s">
        <v>68</v>
      </c>
      <c r="W237" s="3">
        <v>30.0</v>
      </c>
      <c r="Y237" s="3" t="s">
        <v>58</v>
      </c>
      <c r="Z237" s="3">
        <v>0.0</v>
      </c>
      <c r="AA237" s="3">
        <v>0.0</v>
      </c>
      <c r="AC237" s="3">
        <v>7.0</v>
      </c>
      <c r="AE237" s="3">
        <v>5.57</v>
      </c>
      <c r="AN237" s="3">
        <v>1.0</v>
      </c>
      <c r="AP237" s="3" t="s">
        <v>580</v>
      </c>
      <c r="AR237" s="3">
        <v>570.0</v>
      </c>
    </row>
    <row r="238" ht="15.75" customHeight="1">
      <c r="A238" s="4">
        <v>579.0</v>
      </c>
      <c r="B238" s="3" t="s">
        <v>562</v>
      </c>
      <c r="C238" s="3" t="s">
        <v>563</v>
      </c>
      <c r="D238" s="2"/>
      <c r="E238" s="2" t="b">
        <v>1</v>
      </c>
      <c r="F238" s="3" t="s">
        <v>349</v>
      </c>
      <c r="G238" s="3" t="s">
        <v>50</v>
      </c>
      <c r="H238" s="6" t="s">
        <v>350</v>
      </c>
      <c r="I238" s="3" t="s">
        <v>351</v>
      </c>
      <c r="K238" s="3" t="s">
        <v>49</v>
      </c>
      <c r="L238" s="3" t="s">
        <v>50</v>
      </c>
      <c r="M238" s="6" t="s">
        <v>51</v>
      </c>
      <c r="N238" s="3" t="s">
        <v>52</v>
      </c>
      <c r="U238" s="3" t="s">
        <v>538</v>
      </c>
      <c r="V238" s="3" t="s">
        <v>68</v>
      </c>
      <c r="W238" s="3">
        <v>190.0</v>
      </c>
      <c r="Y238" s="3" t="s">
        <v>58</v>
      </c>
      <c r="Z238" s="3">
        <v>0.0</v>
      </c>
      <c r="AA238" s="3">
        <v>1.0</v>
      </c>
      <c r="AE238" s="3">
        <v>73.2</v>
      </c>
      <c r="AN238" s="3">
        <v>1.0</v>
      </c>
      <c r="AP238" s="3" t="s">
        <v>562</v>
      </c>
      <c r="AQ238" s="3" t="s">
        <v>564</v>
      </c>
      <c r="AR238" s="3">
        <v>579.0</v>
      </c>
    </row>
    <row r="239" ht="15.75" customHeight="1">
      <c r="A239" s="4">
        <v>581.0</v>
      </c>
      <c r="C239" s="3" t="s">
        <v>566</v>
      </c>
      <c r="D239" s="3"/>
      <c r="E239" s="3"/>
      <c r="F239" s="3" t="s">
        <v>106</v>
      </c>
      <c r="G239" s="3" t="s">
        <v>50</v>
      </c>
      <c r="H239" s="6" t="s">
        <v>107</v>
      </c>
      <c r="I239" s="3" t="s">
        <v>108</v>
      </c>
      <c r="K239" s="3" t="s">
        <v>575</v>
      </c>
      <c r="L239" s="3" t="s">
        <v>71</v>
      </c>
      <c r="M239" s="4"/>
      <c r="U239" s="3" t="s">
        <v>67</v>
      </c>
      <c r="V239" s="3" t="s">
        <v>177</v>
      </c>
      <c r="Z239" s="3">
        <v>0.0</v>
      </c>
      <c r="AA239" s="3">
        <v>0.0</v>
      </c>
      <c r="AC239" s="3">
        <v>1.0</v>
      </c>
      <c r="AE239" s="3">
        <v>0.03</v>
      </c>
      <c r="AN239" s="3">
        <v>0.0</v>
      </c>
      <c r="AQ239" s="3" t="s">
        <v>568</v>
      </c>
      <c r="AR239" s="3">
        <v>581.0</v>
      </c>
    </row>
    <row r="240" ht="15.75" customHeight="1">
      <c r="A240" s="4">
        <v>582.0</v>
      </c>
      <c r="B240" s="3" t="s">
        <v>385</v>
      </c>
      <c r="C240" s="3" t="s">
        <v>589</v>
      </c>
      <c r="D240" s="3"/>
      <c r="E240" s="3"/>
      <c r="F240" s="3" t="s">
        <v>106</v>
      </c>
      <c r="G240" s="3" t="s">
        <v>50</v>
      </c>
      <c r="H240" s="6" t="s">
        <v>107</v>
      </c>
      <c r="I240" s="3" t="s">
        <v>108</v>
      </c>
      <c r="K240" s="3" t="s">
        <v>273</v>
      </c>
      <c r="L240" s="3" t="s">
        <v>50</v>
      </c>
      <c r="M240" s="6" t="s">
        <v>274</v>
      </c>
      <c r="N240" s="3" t="s">
        <v>275</v>
      </c>
      <c r="U240" s="3" t="s">
        <v>67</v>
      </c>
      <c r="V240" s="3" t="s">
        <v>113</v>
      </c>
      <c r="W240" s="3">
        <v>230.0</v>
      </c>
      <c r="Y240" s="3" t="s">
        <v>58</v>
      </c>
      <c r="Z240" s="3">
        <v>0.0</v>
      </c>
      <c r="AA240" s="3">
        <v>1.0</v>
      </c>
      <c r="AE240" s="3">
        <v>0.087</v>
      </c>
      <c r="AN240" s="3">
        <v>1.0</v>
      </c>
      <c r="AP240" s="3" t="s">
        <v>385</v>
      </c>
      <c r="AR240" s="3">
        <v>582.0</v>
      </c>
    </row>
    <row r="241" ht="15.75" customHeight="1">
      <c r="A241" s="4">
        <v>583.0</v>
      </c>
      <c r="B241" s="3" t="s">
        <v>385</v>
      </c>
      <c r="C241" s="3" t="s">
        <v>589</v>
      </c>
      <c r="D241" s="3"/>
      <c r="E241" s="3"/>
      <c r="F241" s="3" t="s">
        <v>590</v>
      </c>
      <c r="G241" s="3" t="s">
        <v>50</v>
      </c>
      <c r="H241" s="6" t="s">
        <v>591</v>
      </c>
      <c r="I241" s="3" t="s">
        <v>592</v>
      </c>
      <c r="K241" s="3" t="s">
        <v>273</v>
      </c>
      <c r="L241" s="3" t="s">
        <v>50</v>
      </c>
      <c r="M241" s="6" t="s">
        <v>274</v>
      </c>
      <c r="N241" s="3" t="s">
        <v>275</v>
      </c>
      <c r="U241" s="3" t="s">
        <v>67</v>
      </c>
      <c r="V241" s="3" t="s">
        <v>113</v>
      </c>
      <c r="W241" s="3">
        <v>230.0</v>
      </c>
      <c r="Y241" s="3" t="s">
        <v>58</v>
      </c>
      <c r="Z241" s="3">
        <v>0.0</v>
      </c>
      <c r="AA241" s="3">
        <v>1.0</v>
      </c>
      <c r="AE241" s="3">
        <v>0.013</v>
      </c>
      <c r="AN241" s="3">
        <v>1.0</v>
      </c>
      <c r="AP241" s="3" t="s">
        <v>385</v>
      </c>
      <c r="AR241" s="3">
        <v>583.0</v>
      </c>
    </row>
    <row r="242" ht="15.75" customHeight="1">
      <c r="A242" s="4">
        <v>586.0</v>
      </c>
      <c r="B242" s="3" t="s">
        <v>593</v>
      </c>
      <c r="C242" s="3" t="s">
        <v>589</v>
      </c>
      <c r="D242" s="2"/>
      <c r="E242" s="2" t="b">
        <v>0</v>
      </c>
      <c r="F242" s="3" t="s">
        <v>106</v>
      </c>
      <c r="G242" s="3" t="s">
        <v>50</v>
      </c>
      <c r="H242" s="6" t="s">
        <v>107</v>
      </c>
      <c r="I242" s="3" t="s">
        <v>108</v>
      </c>
      <c r="K242" s="3" t="s">
        <v>208</v>
      </c>
      <c r="L242" s="3" t="s">
        <v>50</v>
      </c>
      <c r="M242" s="6" t="s">
        <v>209</v>
      </c>
      <c r="N242" s="3" t="s">
        <v>210</v>
      </c>
      <c r="U242" s="3" t="s">
        <v>67</v>
      </c>
      <c r="V242" s="3" t="s">
        <v>144</v>
      </c>
      <c r="Z242" s="3">
        <v>0.0</v>
      </c>
      <c r="AA242" s="3">
        <v>1.0</v>
      </c>
      <c r="AE242" s="3">
        <v>0.017</v>
      </c>
      <c r="AF242" s="3">
        <v>0.018</v>
      </c>
      <c r="AN242" s="3">
        <v>1.0</v>
      </c>
      <c r="AP242" s="3" t="s">
        <v>593</v>
      </c>
      <c r="AR242" s="3">
        <v>586.0</v>
      </c>
      <c r="AS242" s="3">
        <v>105.0</v>
      </c>
      <c r="AT242" s="3" t="s">
        <v>252</v>
      </c>
    </row>
    <row r="243" ht="15.75" customHeight="1">
      <c r="A243" s="4">
        <v>589.0</v>
      </c>
      <c r="C243" s="3" t="s">
        <v>594</v>
      </c>
      <c r="D243" s="3"/>
      <c r="E243" s="3"/>
      <c r="F243" s="3" t="s">
        <v>106</v>
      </c>
      <c r="G243" s="3" t="s">
        <v>50</v>
      </c>
      <c r="H243" s="6" t="s">
        <v>107</v>
      </c>
      <c r="I243" s="3" t="s">
        <v>108</v>
      </c>
      <c r="K243" s="3" t="s">
        <v>154</v>
      </c>
      <c r="L243" s="3" t="s">
        <v>71</v>
      </c>
      <c r="M243" s="4"/>
      <c r="U243" s="3" t="s">
        <v>67</v>
      </c>
      <c r="V243" s="3" t="s">
        <v>152</v>
      </c>
      <c r="Z243" s="3">
        <v>0.0</v>
      </c>
      <c r="AA243" s="3">
        <v>1.0</v>
      </c>
      <c r="AE243" s="3">
        <v>0.29</v>
      </c>
      <c r="AG243" s="3">
        <v>0.01</v>
      </c>
      <c r="AN243" s="3">
        <v>0.0</v>
      </c>
      <c r="AR243" s="3">
        <v>589.0</v>
      </c>
    </row>
    <row r="244" ht="15.75" customHeight="1">
      <c r="A244" s="4">
        <v>590.0</v>
      </c>
      <c r="C244" s="3" t="s">
        <v>594</v>
      </c>
      <c r="D244" s="3"/>
      <c r="E244" s="3"/>
      <c r="F244" s="3" t="s">
        <v>115</v>
      </c>
      <c r="G244" s="3" t="s">
        <v>50</v>
      </c>
      <c r="H244" s="8" t="s">
        <v>116</v>
      </c>
      <c r="I244" s="3" t="s">
        <v>117</v>
      </c>
      <c r="K244" s="3" t="s">
        <v>154</v>
      </c>
      <c r="L244" s="3" t="s">
        <v>71</v>
      </c>
      <c r="M244" s="4"/>
      <c r="U244" s="3" t="s">
        <v>67</v>
      </c>
      <c r="V244" s="3" t="s">
        <v>152</v>
      </c>
      <c r="Z244" s="3">
        <v>0.0</v>
      </c>
      <c r="AA244" s="3">
        <v>1.0</v>
      </c>
      <c r="AE244" s="3">
        <v>0.21</v>
      </c>
      <c r="AG244" s="3">
        <v>0.1</v>
      </c>
      <c r="AN244" s="3">
        <v>0.0</v>
      </c>
      <c r="AR244" s="3">
        <v>590.0</v>
      </c>
    </row>
    <row r="245" ht="15.75" customHeight="1">
      <c r="A245" s="4">
        <v>593.0</v>
      </c>
      <c r="C245" s="3" t="s">
        <v>595</v>
      </c>
      <c r="D245" s="2"/>
      <c r="E245" s="2" t="b">
        <v>0</v>
      </c>
      <c r="F245" s="3" t="s">
        <v>258</v>
      </c>
      <c r="G245" s="3" t="s">
        <v>50</v>
      </c>
      <c r="H245" s="6" t="s">
        <v>259</v>
      </c>
      <c r="I245" s="3" t="s">
        <v>260</v>
      </c>
      <c r="K245" s="3" t="s">
        <v>106</v>
      </c>
      <c r="L245" s="3" t="s">
        <v>50</v>
      </c>
      <c r="M245" s="6" t="s">
        <v>107</v>
      </c>
      <c r="N245" s="3" t="s">
        <v>108</v>
      </c>
      <c r="P245" s="3"/>
      <c r="Q245" s="3"/>
      <c r="R245" s="3">
        <v>2.8</v>
      </c>
      <c r="S245" s="3">
        <v>4.1</v>
      </c>
      <c r="T245" s="3" t="s">
        <v>204</v>
      </c>
      <c r="U245" s="3" t="s">
        <v>56</v>
      </c>
      <c r="V245" s="3" t="s">
        <v>144</v>
      </c>
      <c r="W245" s="3">
        <v>150.0</v>
      </c>
      <c r="Y245" s="3" t="s">
        <v>58</v>
      </c>
      <c r="Z245" s="3">
        <v>1.0</v>
      </c>
      <c r="AA245" s="3">
        <v>0.0</v>
      </c>
      <c r="AB245" s="3">
        <v>5.0</v>
      </c>
      <c r="AH245" s="3">
        <v>0.072</v>
      </c>
      <c r="AJ245" s="3">
        <v>6.85</v>
      </c>
      <c r="AN245" s="3">
        <v>0.0</v>
      </c>
      <c r="AR245" s="3">
        <v>593.0</v>
      </c>
      <c r="AS245" s="3">
        <v>0.1</v>
      </c>
      <c r="AT245" s="3" t="s">
        <v>88</v>
      </c>
    </row>
    <row r="246" ht="15.75" customHeight="1">
      <c r="A246" s="4">
        <v>597.0</v>
      </c>
      <c r="C246" s="3" t="s">
        <v>596</v>
      </c>
      <c r="D246" s="2"/>
      <c r="E246" s="2" t="b">
        <v>0</v>
      </c>
      <c r="F246" s="3" t="s">
        <v>597</v>
      </c>
      <c r="G246" s="3" t="s">
        <v>50</v>
      </c>
      <c r="H246" s="8" t="s">
        <v>598</v>
      </c>
      <c r="K246" s="3" t="s">
        <v>124</v>
      </c>
      <c r="L246" s="3" t="s">
        <v>50</v>
      </c>
      <c r="M246" s="8" t="s">
        <v>255</v>
      </c>
      <c r="N246" s="3" t="s">
        <v>126</v>
      </c>
      <c r="U246" s="3" t="s">
        <v>56</v>
      </c>
      <c r="V246" s="3" t="s">
        <v>599</v>
      </c>
      <c r="Z246" s="3">
        <v>0.0</v>
      </c>
      <c r="AA246" s="3">
        <v>1.0</v>
      </c>
      <c r="AH246" s="3">
        <v>-0.091</v>
      </c>
      <c r="AJ246" s="3">
        <v>34.8</v>
      </c>
      <c r="AN246" s="3">
        <v>0.0</v>
      </c>
      <c r="AR246" s="3">
        <v>597.0</v>
      </c>
    </row>
    <row r="247" ht="15.75" customHeight="1">
      <c r="A247" s="4">
        <v>600.0</v>
      </c>
      <c r="B247" s="3" t="s">
        <v>600</v>
      </c>
      <c r="C247" s="3" t="s">
        <v>595</v>
      </c>
      <c r="D247" s="3"/>
      <c r="E247" s="3"/>
      <c r="F247" s="3" t="s">
        <v>106</v>
      </c>
      <c r="G247" s="3" t="s">
        <v>50</v>
      </c>
      <c r="H247" s="6" t="s">
        <v>107</v>
      </c>
      <c r="I247" s="3" t="s">
        <v>108</v>
      </c>
      <c r="K247" s="3" t="s">
        <v>258</v>
      </c>
      <c r="L247" s="3" t="s">
        <v>50</v>
      </c>
      <c r="M247" s="6" t="s">
        <v>259</v>
      </c>
      <c r="N247" s="3" t="s">
        <v>260</v>
      </c>
      <c r="U247" s="3" t="s">
        <v>56</v>
      </c>
      <c r="V247" s="3" t="s">
        <v>177</v>
      </c>
      <c r="W247" s="3">
        <v>150.0</v>
      </c>
      <c r="Y247" s="3" t="s">
        <v>58</v>
      </c>
      <c r="Z247" s="3">
        <v>0.0</v>
      </c>
      <c r="AA247" s="3">
        <v>1.0</v>
      </c>
      <c r="AB247" s="3">
        <v>5.0</v>
      </c>
      <c r="AH247" s="3">
        <v>0.033</v>
      </c>
      <c r="AJ247" s="3">
        <v>32.6</v>
      </c>
      <c r="AN247" s="3">
        <v>1.0</v>
      </c>
      <c r="AP247" s="3" t="s">
        <v>600</v>
      </c>
      <c r="AQ247" s="3" t="s">
        <v>601</v>
      </c>
      <c r="AR247" s="3">
        <v>600.0</v>
      </c>
      <c r="AS247" s="3">
        <v>118.0</v>
      </c>
      <c r="AT247" s="3" t="s">
        <v>59</v>
      </c>
    </row>
    <row r="248" ht="15.75" customHeight="1">
      <c r="A248" s="4">
        <v>601.0</v>
      </c>
      <c r="C248" s="3" t="s">
        <v>595</v>
      </c>
      <c r="D248" s="2"/>
      <c r="E248" s="2" t="b">
        <v>0</v>
      </c>
      <c r="F248" s="3" t="s">
        <v>258</v>
      </c>
      <c r="G248" s="3" t="s">
        <v>50</v>
      </c>
      <c r="H248" s="6" t="s">
        <v>259</v>
      </c>
      <c r="I248" s="3" t="s">
        <v>260</v>
      </c>
      <c r="K248" s="3" t="s">
        <v>135</v>
      </c>
      <c r="L248" s="3" t="s">
        <v>50</v>
      </c>
      <c r="M248" s="8" t="s">
        <v>62</v>
      </c>
      <c r="N248" s="3" t="s">
        <v>136</v>
      </c>
      <c r="P248" s="3"/>
      <c r="Q248" s="3"/>
      <c r="R248" s="3">
        <v>1.0</v>
      </c>
      <c r="S248" s="3">
        <v>2.3</v>
      </c>
      <c r="T248" s="3" t="s">
        <v>204</v>
      </c>
      <c r="U248" s="3" t="s">
        <v>56</v>
      </c>
      <c r="V248" s="3" t="s">
        <v>144</v>
      </c>
      <c r="Z248" s="3">
        <v>1.0</v>
      </c>
      <c r="AA248" s="3">
        <v>0.0</v>
      </c>
      <c r="AB248" s="3">
        <v>5.0</v>
      </c>
      <c r="AH248" s="3">
        <v>0.13</v>
      </c>
      <c r="AJ248" s="3">
        <v>31.5</v>
      </c>
      <c r="AN248" s="3">
        <v>0.0</v>
      </c>
      <c r="AR248" s="3">
        <v>601.0</v>
      </c>
      <c r="AS248" s="3">
        <v>0.1</v>
      </c>
      <c r="AT248" s="3" t="s">
        <v>88</v>
      </c>
    </row>
    <row r="249" ht="15.75" customHeight="1">
      <c r="A249" s="4">
        <v>602.0</v>
      </c>
      <c r="C249" s="3" t="s">
        <v>595</v>
      </c>
      <c r="D249" s="2"/>
      <c r="E249" s="2" t="b">
        <v>0</v>
      </c>
      <c r="F249" s="3" t="s">
        <v>258</v>
      </c>
      <c r="G249" s="3" t="s">
        <v>50</v>
      </c>
      <c r="H249" s="6" t="s">
        <v>259</v>
      </c>
      <c r="I249" s="3" t="s">
        <v>260</v>
      </c>
      <c r="K249" s="3" t="s">
        <v>135</v>
      </c>
      <c r="L249" s="3" t="s">
        <v>50</v>
      </c>
      <c r="M249" s="8" t="s">
        <v>62</v>
      </c>
      <c r="N249" s="3" t="s">
        <v>136</v>
      </c>
      <c r="P249" s="3"/>
      <c r="Q249" s="3"/>
      <c r="R249" s="3">
        <v>1.1</v>
      </c>
      <c r="S249" s="3">
        <v>2.3</v>
      </c>
      <c r="T249" s="3" t="s">
        <v>204</v>
      </c>
      <c r="U249" s="3" t="s">
        <v>56</v>
      </c>
      <c r="V249" s="3" t="s">
        <v>144</v>
      </c>
      <c r="Z249" s="3">
        <v>1.0</v>
      </c>
      <c r="AA249" s="3">
        <v>0.0</v>
      </c>
      <c r="AB249" s="3">
        <v>5.0</v>
      </c>
      <c r="AH249" s="3">
        <v>0.13</v>
      </c>
      <c r="AJ249" s="3">
        <v>24.5</v>
      </c>
      <c r="AN249" s="3">
        <v>0.0</v>
      </c>
      <c r="AR249" s="3">
        <v>602.0</v>
      </c>
      <c r="AS249" s="3">
        <v>0.1</v>
      </c>
      <c r="AT249" s="3" t="s">
        <v>88</v>
      </c>
    </row>
    <row r="250" ht="15.75" customHeight="1">
      <c r="A250" s="4">
        <v>603.0</v>
      </c>
      <c r="B250" s="3" t="s">
        <v>403</v>
      </c>
      <c r="C250" s="3" t="s">
        <v>602</v>
      </c>
      <c r="D250" s="2"/>
      <c r="E250" s="2" t="b">
        <v>1</v>
      </c>
      <c r="F250" s="3" t="s">
        <v>106</v>
      </c>
      <c r="G250" s="3" t="s">
        <v>50</v>
      </c>
      <c r="H250" s="6" t="s">
        <v>107</v>
      </c>
      <c r="I250" s="3" t="s">
        <v>108</v>
      </c>
      <c r="K250" s="3" t="s">
        <v>154</v>
      </c>
      <c r="L250" s="3" t="s">
        <v>71</v>
      </c>
      <c r="M250" s="4"/>
      <c r="U250" s="3" t="s">
        <v>67</v>
      </c>
      <c r="V250" s="3" t="s">
        <v>68</v>
      </c>
      <c r="Z250" s="3">
        <v>0.0</v>
      </c>
      <c r="AA250" s="3">
        <v>0.0</v>
      </c>
      <c r="AC250" s="3">
        <v>1.0</v>
      </c>
      <c r="AE250" s="3">
        <v>0.35</v>
      </c>
      <c r="AN250" s="3">
        <v>1.0</v>
      </c>
      <c r="AP250" s="3" t="s">
        <v>403</v>
      </c>
      <c r="AR250" s="3">
        <v>603.0</v>
      </c>
    </row>
    <row r="251" ht="15.75" customHeight="1">
      <c r="A251" s="4">
        <v>604.0</v>
      </c>
      <c r="B251" s="3" t="s">
        <v>403</v>
      </c>
      <c r="C251" s="3" t="s">
        <v>602</v>
      </c>
      <c r="D251" s="2"/>
      <c r="E251" s="2" t="b">
        <v>1</v>
      </c>
      <c r="F251" s="3" t="s">
        <v>106</v>
      </c>
      <c r="G251" s="3" t="s">
        <v>50</v>
      </c>
      <c r="H251" s="6" t="s">
        <v>107</v>
      </c>
      <c r="I251" s="3" t="s">
        <v>108</v>
      </c>
      <c r="K251" s="3" t="s">
        <v>321</v>
      </c>
      <c r="L251" s="3" t="s">
        <v>71</v>
      </c>
      <c r="M251" s="4"/>
      <c r="U251" s="3" t="s">
        <v>67</v>
      </c>
      <c r="V251" s="3" t="s">
        <v>68</v>
      </c>
      <c r="Z251" s="3">
        <v>0.0</v>
      </c>
      <c r="AA251" s="3">
        <v>0.0</v>
      </c>
      <c r="AC251" s="3">
        <v>1.0</v>
      </c>
      <c r="AE251" s="3">
        <v>0.35</v>
      </c>
      <c r="AN251" s="3">
        <v>1.0</v>
      </c>
      <c r="AP251" s="3" t="s">
        <v>403</v>
      </c>
      <c r="AR251" s="3">
        <v>604.0</v>
      </c>
    </row>
    <row r="252" ht="15.75" customHeight="1">
      <c r="A252" s="4">
        <v>605.0</v>
      </c>
      <c r="B252" s="3" t="s">
        <v>403</v>
      </c>
      <c r="C252" s="3" t="s">
        <v>602</v>
      </c>
      <c r="D252" s="2"/>
      <c r="E252" s="2" t="b">
        <v>1</v>
      </c>
      <c r="F252" s="3" t="s">
        <v>247</v>
      </c>
      <c r="G252" s="3" t="s">
        <v>50</v>
      </c>
      <c r="H252" s="6" t="s">
        <v>248</v>
      </c>
      <c r="I252" s="3" t="s">
        <v>249</v>
      </c>
      <c r="K252" s="3" t="s">
        <v>154</v>
      </c>
      <c r="L252" s="3" t="s">
        <v>71</v>
      </c>
      <c r="M252" s="4"/>
      <c r="U252" s="3" t="s">
        <v>67</v>
      </c>
      <c r="V252" s="3" t="s">
        <v>68</v>
      </c>
      <c r="Z252" s="3">
        <v>0.0</v>
      </c>
      <c r="AA252" s="3">
        <v>0.0</v>
      </c>
      <c r="AC252" s="3">
        <v>1.0</v>
      </c>
      <c r="AE252" s="3">
        <v>0.67</v>
      </c>
      <c r="AN252" s="3">
        <v>1.0</v>
      </c>
      <c r="AP252" s="3" t="s">
        <v>403</v>
      </c>
      <c r="AR252" s="3">
        <v>605.0</v>
      </c>
    </row>
    <row r="253" ht="15.75" customHeight="1">
      <c r="A253" s="4">
        <v>606.0</v>
      </c>
      <c r="B253" s="3" t="s">
        <v>403</v>
      </c>
      <c r="C253" s="3" t="s">
        <v>602</v>
      </c>
      <c r="D253" s="2"/>
      <c r="E253" s="2" t="b">
        <v>1</v>
      </c>
      <c r="F253" s="3" t="s">
        <v>247</v>
      </c>
      <c r="G253" s="3" t="s">
        <v>50</v>
      </c>
      <c r="H253" s="6" t="s">
        <v>248</v>
      </c>
      <c r="I253" s="3" t="s">
        <v>249</v>
      </c>
      <c r="K253" s="3" t="s">
        <v>321</v>
      </c>
      <c r="L253" s="3" t="s">
        <v>71</v>
      </c>
      <c r="M253" s="4"/>
      <c r="U253" s="3" t="s">
        <v>67</v>
      </c>
      <c r="V253" s="3" t="s">
        <v>68</v>
      </c>
      <c r="Z253" s="3">
        <v>0.0</v>
      </c>
      <c r="AA253" s="3">
        <v>0.0</v>
      </c>
      <c r="AC253" s="3">
        <v>1.0</v>
      </c>
      <c r="AE253" s="3">
        <v>1.01</v>
      </c>
      <c r="AN253" s="3">
        <v>1.0</v>
      </c>
      <c r="AP253" s="3" t="s">
        <v>403</v>
      </c>
      <c r="AR253" s="3">
        <v>606.0</v>
      </c>
    </row>
    <row r="254" ht="15.75" customHeight="1">
      <c r="A254" s="4">
        <v>607.0</v>
      </c>
      <c r="B254" s="3" t="s">
        <v>603</v>
      </c>
      <c r="C254" s="3" t="s">
        <v>604</v>
      </c>
      <c r="D254" s="3"/>
      <c r="E254" s="3"/>
      <c r="F254" s="3" t="s">
        <v>567</v>
      </c>
      <c r="G254" s="3" t="s">
        <v>71</v>
      </c>
      <c r="K254" s="3" t="s">
        <v>106</v>
      </c>
      <c r="L254" s="3" t="s">
        <v>50</v>
      </c>
      <c r="M254" s="6" t="s">
        <v>107</v>
      </c>
      <c r="N254" s="3" t="s">
        <v>108</v>
      </c>
      <c r="U254" s="3" t="s">
        <v>67</v>
      </c>
      <c r="V254" s="3" t="s">
        <v>605</v>
      </c>
      <c r="Z254" s="3">
        <v>0.0</v>
      </c>
      <c r="AA254" s="3">
        <v>0.0</v>
      </c>
      <c r="AE254" s="3">
        <v>0.396</v>
      </c>
      <c r="AN254" s="3">
        <v>1.0</v>
      </c>
      <c r="AP254" s="3" t="s">
        <v>603</v>
      </c>
      <c r="AR254" s="3">
        <v>607.0</v>
      </c>
    </row>
    <row r="255" ht="15.75" customHeight="1">
      <c r="A255" s="4">
        <v>608.0</v>
      </c>
      <c r="B255" s="3" t="s">
        <v>606</v>
      </c>
      <c r="C255" s="3" t="s">
        <v>604</v>
      </c>
      <c r="D255" s="3"/>
      <c r="E255" s="3"/>
      <c r="F255" s="3" t="s">
        <v>127</v>
      </c>
      <c r="G255" s="3" t="s">
        <v>71</v>
      </c>
      <c r="H255" s="4"/>
      <c r="I255" s="3" t="s">
        <v>128</v>
      </c>
      <c r="K255" s="3" t="s">
        <v>106</v>
      </c>
      <c r="L255" s="3" t="s">
        <v>50</v>
      </c>
      <c r="M255" s="6" t="s">
        <v>107</v>
      </c>
      <c r="N255" s="3" t="s">
        <v>108</v>
      </c>
      <c r="U255" s="3" t="s">
        <v>67</v>
      </c>
      <c r="V255" s="3" t="s">
        <v>177</v>
      </c>
      <c r="Z255" s="3">
        <v>1.0</v>
      </c>
      <c r="AA255" s="3">
        <v>0.0</v>
      </c>
      <c r="AE255" s="3">
        <v>0.505</v>
      </c>
      <c r="AN255" s="3">
        <v>1.0</v>
      </c>
      <c r="AP255" s="3" t="s">
        <v>606</v>
      </c>
      <c r="AR255" s="3">
        <v>608.0</v>
      </c>
    </row>
    <row r="256" ht="15.75" customHeight="1">
      <c r="A256" s="4">
        <v>610.0</v>
      </c>
      <c r="B256" s="3" t="s">
        <v>603</v>
      </c>
      <c r="C256" s="3" t="s">
        <v>604</v>
      </c>
      <c r="D256" s="3"/>
      <c r="E256" s="3"/>
      <c r="F256" s="3" t="s">
        <v>106</v>
      </c>
      <c r="G256" s="3" t="s">
        <v>50</v>
      </c>
      <c r="H256" s="6" t="s">
        <v>107</v>
      </c>
      <c r="I256" s="3" t="s">
        <v>108</v>
      </c>
      <c r="K256" s="3" t="s">
        <v>569</v>
      </c>
      <c r="L256" s="3" t="s">
        <v>71</v>
      </c>
      <c r="M256" s="4"/>
      <c r="U256" s="3" t="s">
        <v>67</v>
      </c>
      <c r="V256" s="3" t="s">
        <v>605</v>
      </c>
      <c r="Z256" s="3">
        <v>0.0</v>
      </c>
      <c r="AA256" s="3">
        <v>1.0</v>
      </c>
      <c r="AE256" s="3">
        <v>0.438</v>
      </c>
      <c r="AN256" s="3">
        <v>1.0</v>
      </c>
      <c r="AP256" s="3" t="s">
        <v>603</v>
      </c>
      <c r="AR256" s="3">
        <v>610.0</v>
      </c>
    </row>
    <row r="257" ht="15.75" customHeight="1">
      <c r="A257" s="4">
        <v>612.0</v>
      </c>
      <c r="B257" s="3" t="s">
        <v>603</v>
      </c>
      <c r="C257" s="3" t="s">
        <v>604</v>
      </c>
      <c r="D257" s="3"/>
      <c r="E257" s="3"/>
      <c r="F257" s="3" t="s">
        <v>106</v>
      </c>
      <c r="G257" s="3" t="s">
        <v>50</v>
      </c>
      <c r="H257" s="6" t="s">
        <v>107</v>
      </c>
      <c r="I257" s="3" t="s">
        <v>108</v>
      </c>
      <c r="K257" s="3" t="s">
        <v>321</v>
      </c>
      <c r="L257" s="3" t="s">
        <v>71</v>
      </c>
      <c r="M257" s="4"/>
      <c r="U257" s="3" t="s">
        <v>67</v>
      </c>
      <c r="V257" s="3" t="s">
        <v>605</v>
      </c>
      <c r="Z257" s="3">
        <v>0.0</v>
      </c>
      <c r="AA257" s="3">
        <v>1.0</v>
      </c>
      <c r="AE257" s="3">
        <v>0.432</v>
      </c>
      <c r="AN257" s="3">
        <v>1.0</v>
      </c>
      <c r="AP257" s="3" t="s">
        <v>603</v>
      </c>
      <c r="AR257" s="3">
        <v>612.0</v>
      </c>
    </row>
    <row r="258" ht="15.75" customHeight="1">
      <c r="A258" s="4">
        <v>616.0</v>
      </c>
      <c r="B258" s="3" t="s">
        <v>607</v>
      </c>
      <c r="C258" s="3" t="s">
        <v>608</v>
      </c>
      <c r="D258" s="2"/>
      <c r="E258" s="2" t="b">
        <v>1</v>
      </c>
      <c r="F258" s="3" t="s">
        <v>609</v>
      </c>
      <c r="G258" s="3" t="s">
        <v>50</v>
      </c>
      <c r="H258" s="6" t="s">
        <v>610</v>
      </c>
      <c r="I258" s="3" t="s">
        <v>611</v>
      </c>
      <c r="K258" s="3" t="s">
        <v>612</v>
      </c>
      <c r="L258" s="3" t="s">
        <v>71</v>
      </c>
      <c r="M258" s="4"/>
      <c r="N258" s="3" t="s">
        <v>613</v>
      </c>
      <c r="U258" s="3" t="s">
        <v>67</v>
      </c>
      <c r="V258" s="3" t="s">
        <v>68</v>
      </c>
      <c r="Z258" s="3">
        <v>0.0</v>
      </c>
      <c r="AA258" s="3">
        <v>1.0</v>
      </c>
      <c r="AE258" s="3">
        <v>3.5</v>
      </c>
      <c r="AN258" s="3">
        <v>1.0</v>
      </c>
      <c r="AP258" s="3" t="s">
        <v>607</v>
      </c>
      <c r="AR258" s="3">
        <v>616.0</v>
      </c>
    </row>
    <row r="259" ht="15.75" customHeight="1">
      <c r="A259" s="4">
        <v>619.0</v>
      </c>
      <c r="B259" s="3" t="s">
        <v>614</v>
      </c>
      <c r="C259" s="3" t="s">
        <v>608</v>
      </c>
      <c r="D259" s="2"/>
      <c r="E259" s="2" t="b">
        <v>1</v>
      </c>
      <c r="F259" s="3" t="s">
        <v>300</v>
      </c>
      <c r="G259" s="3" t="s">
        <v>50</v>
      </c>
      <c r="H259" s="8" t="s">
        <v>341</v>
      </c>
      <c r="I259" s="3" t="s">
        <v>302</v>
      </c>
      <c r="K259" s="3" t="s">
        <v>615</v>
      </c>
      <c r="L259" s="3" t="s">
        <v>71</v>
      </c>
      <c r="M259" s="4"/>
      <c r="N259" s="3" t="s">
        <v>616</v>
      </c>
      <c r="U259" s="3" t="s">
        <v>67</v>
      </c>
      <c r="V259" s="3" t="s">
        <v>68</v>
      </c>
      <c r="Z259" s="3">
        <v>0.0</v>
      </c>
      <c r="AA259" s="3">
        <v>1.0</v>
      </c>
      <c r="AE259" s="3">
        <v>8.5</v>
      </c>
      <c r="AN259" s="3">
        <v>1.0</v>
      </c>
      <c r="AP259" s="3" t="s">
        <v>614</v>
      </c>
      <c r="AR259" s="3">
        <v>619.0</v>
      </c>
    </row>
    <row r="260" ht="15.75" customHeight="1">
      <c r="A260" s="4">
        <v>620.0</v>
      </c>
      <c r="B260" s="3" t="s">
        <v>614</v>
      </c>
      <c r="C260" s="3" t="s">
        <v>608</v>
      </c>
      <c r="D260" s="2"/>
      <c r="E260" s="2" t="b">
        <v>1</v>
      </c>
      <c r="F260" s="3" t="s">
        <v>300</v>
      </c>
      <c r="G260" s="3" t="s">
        <v>50</v>
      </c>
      <c r="H260" s="8" t="s">
        <v>341</v>
      </c>
      <c r="I260" s="3" t="s">
        <v>302</v>
      </c>
      <c r="K260" s="3" t="s">
        <v>612</v>
      </c>
      <c r="L260" s="3" t="s">
        <v>71</v>
      </c>
      <c r="M260" s="4"/>
      <c r="N260" s="3" t="s">
        <v>613</v>
      </c>
      <c r="U260" s="3" t="s">
        <v>67</v>
      </c>
      <c r="V260" s="3" t="s">
        <v>68</v>
      </c>
      <c r="Z260" s="3">
        <v>0.0</v>
      </c>
      <c r="AA260" s="3">
        <v>1.0</v>
      </c>
      <c r="AE260" s="3">
        <v>3.0</v>
      </c>
      <c r="AN260" s="3">
        <v>1.0</v>
      </c>
      <c r="AP260" s="3" t="s">
        <v>614</v>
      </c>
      <c r="AR260" s="3">
        <v>620.0</v>
      </c>
    </row>
    <row r="261" ht="15.75" customHeight="1">
      <c r="A261" s="4">
        <v>621.0</v>
      </c>
      <c r="B261" s="3" t="s">
        <v>607</v>
      </c>
      <c r="C261" s="3" t="s">
        <v>608</v>
      </c>
      <c r="D261" s="2"/>
      <c r="E261" s="2" t="b">
        <v>1</v>
      </c>
      <c r="F261" s="3" t="s">
        <v>609</v>
      </c>
      <c r="G261" s="3" t="s">
        <v>50</v>
      </c>
      <c r="H261" s="6" t="s">
        <v>610</v>
      </c>
      <c r="I261" s="3" t="s">
        <v>611</v>
      </c>
      <c r="K261" s="3" t="s">
        <v>615</v>
      </c>
      <c r="L261" s="3" t="s">
        <v>71</v>
      </c>
      <c r="M261" s="4"/>
      <c r="N261" s="3" t="s">
        <v>617</v>
      </c>
      <c r="U261" s="3" t="s">
        <v>67</v>
      </c>
      <c r="V261" s="3" t="s">
        <v>68</v>
      </c>
      <c r="Z261" s="3">
        <v>0.0</v>
      </c>
      <c r="AA261" s="3">
        <v>1.0</v>
      </c>
      <c r="AE261" s="3">
        <v>10.6</v>
      </c>
      <c r="AN261" s="3">
        <v>0.0</v>
      </c>
      <c r="AP261" s="3" t="s">
        <v>607</v>
      </c>
      <c r="AR261" s="3">
        <v>621.0</v>
      </c>
    </row>
    <row r="262" ht="15.75" customHeight="1">
      <c r="A262" s="4">
        <v>629.0</v>
      </c>
      <c r="C262" s="3" t="s">
        <v>618</v>
      </c>
      <c r="D262" s="2"/>
      <c r="E262" s="2" t="b">
        <v>0</v>
      </c>
      <c r="F262" s="3" t="s">
        <v>124</v>
      </c>
      <c r="G262" s="3" t="s">
        <v>50</v>
      </c>
      <c r="H262" s="8" t="s">
        <v>255</v>
      </c>
      <c r="I262" s="3" t="s">
        <v>126</v>
      </c>
      <c r="J262" s="3">
        <v>0.49</v>
      </c>
      <c r="K262" s="3" t="s">
        <v>49</v>
      </c>
      <c r="L262" s="3" t="s">
        <v>50</v>
      </c>
      <c r="M262" s="6" t="s">
        <v>51</v>
      </c>
      <c r="N262" s="3" t="s">
        <v>52</v>
      </c>
      <c r="O262" s="3">
        <v>0.51</v>
      </c>
      <c r="P262" s="3"/>
      <c r="Q262" s="3"/>
      <c r="R262" s="3">
        <v>1130.0</v>
      </c>
      <c r="S262" s="3">
        <v>1620.0</v>
      </c>
      <c r="T262" s="3" t="s">
        <v>167</v>
      </c>
      <c r="U262" s="3" t="s">
        <v>56</v>
      </c>
      <c r="V262" s="3" t="s">
        <v>455</v>
      </c>
      <c r="Z262" s="3">
        <v>0.0</v>
      </c>
      <c r="AA262" s="3">
        <v>1.0</v>
      </c>
      <c r="AB262" s="3">
        <v>7.0</v>
      </c>
      <c r="AH262" s="3">
        <v>-0.48</v>
      </c>
      <c r="AJ262" s="3">
        <v>381.0</v>
      </c>
      <c r="AN262" s="3">
        <v>0.0</v>
      </c>
      <c r="AQ262" s="3" t="s">
        <v>619</v>
      </c>
      <c r="AR262" s="3">
        <v>629.0</v>
      </c>
    </row>
    <row r="263" ht="15.75" customHeight="1">
      <c r="A263" s="4">
        <v>631.0</v>
      </c>
      <c r="C263" s="3" t="s">
        <v>618</v>
      </c>
      <c r="D263" s="2"/>
      <c r="E263" s="2" t="b">
        <v>0</v>
      </c>
      <c r="F263" s="3" t="s">
        <v>124</v>
      </c>
      <c r="G263" s="3" t="s">
        <v>50</v>
      </c>
      <c r="H263" s="8" t="s">
        <v>255</v>
      </c>
      <c r="I263" s="3" t="s">
        <v>126</v>
      </c>
      <c r="K263" s="3" t="s">
        <v>49</v>
      </c>
      <c r="L263" s="3" t="s">
        <v>50</v>
      </c>
      <c r="M263" s="6" t="s">
        <v>51</v>
      </c>
      <c r="N263" s="3" t="s">
        <v>52</v>
      </c>
      <c r="U263" s="3" t="s">
        <v>56</v>
      </c>
      <c r="V263" s="3" t="s">
        <v>620</v>
      </c>
      <c r="Z263" s="3">
        <v>0.0</v>
      </c>
      <c r="AA263" s="3">
        <v>1.0</v>
      </c>
      <c r="AB263" s="3">
        <v>10.0</v>
      </c>
      <c r="AD263" s="3">
        <v>1.0</v>
      </c>
      <c r="AH263" s="3">
        <v>-0.69</v>
      </c>
      <c r="AJ263" s="3">
        <v>411.0</v>
      </c>
      <c r="AN263" s="3">
        <v>0.0</v>
      </c>
      <c r="AQ263" s="3" t="s">
        <v>621</v>
      </c>
      <c r="AR263" s="3">
        <v>631.0</v>
      </c>
    </row>
    <row r="264" ht="15.75" customHeight="1">
      <c r="A264" s="4">
        <v>632.0</v>
      </c>
      <c r="C264" s="3" t="s">
        <v>618</v>
      </c>
      <c r="D264" s="2"/>
      <c r="E264" s="2" t="b">
        <v>0</v>
      </c>
      <c r="F264" s="3" t="s">
        <v>124</v>
      </c>
      <c r="G264" s="3" t="s">
        <v>50</v>
      </c>
      <c r="H264" s="8" t="s">
        <v>255</v>
      </c>
      <c r="I264" s="3" t="s">
        <v>126</v>
      </c>
      <c r="K264" s="3" t="s">
        <v>49</v>
      </c>
      <c r="L264" s="3" t="s">
        <v>50</v>
      </c>
      <c r="M264" s="6" t="s">
        <v>51</v>
      </c>
      <c r="N264" s="3" t="s">
        <v>52</v>
      </c>
      <c r="U264" s="3" t="s">
        <v>56</v>
      </c>
      <c r="V264" s="3" t="s">
        <v>620</v>
      </c>
      <c r="Z264" s="3">
        <v>0.0</v>
      </c>
      <c r="AA264" s="3">
        <v>1.0</v>
      </c>
      <c r="AB264" s="3">
        <v>10.0</v>
      </c>
      <c r="AH264" s="3">
        <v>-0.41</v>
      </c>
      <c r="AJ264" s="3">
        <v>247.0</v>
      </c>
      <c r="AN264" s="3">
        <v>0.0</v>
      </c>
      <c r="AQ264" s="3" t="s">
        <v>622</v>
      </c>
      <c r="AR264" s="3">
        <v>632.0</v>
      </c>
    </row>
    <row r="265" ht="15.75" customHeight="1">
      <c r="A265" s="1">
        <v>1000.0</v>
      </c>
      <c r="C265" s="3" t="s">
        <v>131</v>
      </c>
      <c r="D265" s="11" t="b">
        <v>1</v>
      </c>
      <c r="E265" s="5" t="b">
        <v>0</v>
      </c>
      <c r="F265" s="3" t="s">
        <v>132</v>
      </c>
      <c r="G265" s="3" t="s">
        <v>50</v>
      </c>
      <c r="H265" s="6" t="s">
        <v>133</v>
      </c>
      <c r="I265" s="3" t="s">
        <v>134</v>
      </c>
      <c r="J265" s="6">
        <v>0.43</v>
      </c>
      <c r="K265" s="3" t="s">
        <v>135</v>
      </c>
      <c r="L265" s="3" t="s">
        <v>50</v>
      </c>
      <c r="M265" s="8" t="s">
        <v>62</v>
      </c>
      <c r="N265" s="3" t="s">
        <v>136</v>
      </c>
      <c r="O265" s="6">
        <v>0.57</v>
      </c>
      <c r="P265" s="6" t="s">
        <v>137</v>
      </c>
      <c r="Q265" s="12" t="s">
        <v>138</v>
      </c>
      <c r="R265" s="6">
        <v>1.0</v>
      </c>
      <c r="S265" s="6">
        <v>1.3</v>
      </c>
      <c r="T265" s="6" t="s">
        <v>204</v>
      </c>
      <c r="U265" s="3" t="s">
        <v>56</v>
      </c>
      <c r="V265" s="3" t="s">
        <v>139</v>
      </c>
      <c r="Z265" s="3">
        <v>1.0</v>
      </c>
      <c r="AA265" s="3">
        <v>0.0</v>
      </c>
      <c r="AB265" s="3">
        <v>10.0</v>
      </c>
      <c r="AC265" s="3">
        <v>2.0</v>
      </c>
      <c r="AH265" s="3">
        <v>-0.044</v>
      </c>
      <c r="AI265" s="3">
        <v>0.002</v>
      </c>
      <c r="AJ265" s="3">
        <v>41.2</v>
      </c>
      <c r="AK265" s="3">
        <v>0.9</v>
      </c>
      <c r="AN265" s="3">
        <v>0.0</v>
      </c>
      <c r="AR265" s="2">
        <v>1000.0</v>
      </c>
      <c r="AS265" s="3">
        <v>118.0</v>
      </c>
      <c r="AT265" s="3" t="s">
        <v>59</v>
      </c>
    </row>
    <row r="266" ht="15.75" customHeight="1">
      <c r="C266" s="25"/>
      <c r="D266" s="25"/>
      <c r="E266" s="25"/>
      <c r="F266" s="25"/>
      <c r="K266" s="25"/>
    </row>
    <row r="267" ht="15.75" customHeight="1">
      <c r="C267" s="25"/>
      <c r="D267" s="25"/>
      <c r="E267" s="25"/>
      <c r="F267" s="25"/>
      <c r="K267" s="25"/>
    </row>
    <row r="268" ht="15.75" customHeight="1">
      <c r="C268" s="25"/>
      <c r="D268" s="25"/>
      <c r="E268" s="25"/>
      <c r="F268" s="25"/>
      <c r="K268" s="25"/>
    </row>
    <row r="269" ht="15.75" customHeight="1">
      <c r="C269" s="25"/>
      <c r="D269" s="25"/>
      <c r="E269" s="25"/>
      <c r="F269" s="25"/>
      <c r="K269" s="25"/>
    </row>
    <row r="270" ht="15.75" customHeight="1">
      <c r="C270" s="25"/>
      <c r="D270" s="25"/>
      <c r="E270" s="25"/>
      <c r="F270" s="25"/>
      <c r="K270" s="25"/>
    </row>
    <row r="271" ht="15.75" customHeight="1">
      <c r="C271" s="25"/>
      <c r="D271" s="25"/>
      <c r="E271" s="25"/>
      <c r="F271" s="25"/>
      <c r="K271" s="25"/>
    </row>
    <row r="272" ht="15.75" customHeight="1">
      <c r="C272" s="25"/>
      <c r="D272" s="25"/>
      <c r="E272" s="25"/>
      <c r="F272" s="25"/>
      <c r="K272" s="25"/>
    </row>
    <row r="273" ht="15.75" customHeight="1">
      <c r="C273" s="25"/>
      <c r="D273" s="25"/>
      <c r="E273" s="25"/>
      <c r="F273" s="25"/>
      <c r="K273" s="25"/>
    </row>
    <row r="274" ht="15.75" customHeight="1">
      <c r="C274" s="25"/>
      <c r="D274" s="25"/>
      <c r="E274" s="25"/>
      <c r="F274" s="25"/>
      <c r="K274" s="25"/>
    </row>
    <row r="275" ht="15.75" customHeight="1">
      <c r="C275" s="25"/>
      <c r="D275" s="25"/>
      <c r="E275" s="25"/>
      <c r="F275" s="25"/>
      <c r="K275" s="25"/>
    </row>
    <row r="276" ht="15.75" customHeight="1">
      <c r="C276" s="25"/>
      <c r="D276" s="25"/>
      <c r="E276" s="25"/>
      <c r="F276" s="25"/>
      <c r="K276" s="25"/>
    </row>
    <row r="277" ht="15.75" customHeight="1">
      <c r="C277" s="25"/>
      <c r="D277" s="25"/>
      <c r="E277" s="25"/>
      <c r="F277" s="25"/>
      <c r="K277" s="25"/>
    </row>
    <row r="278" ht="15.75" customHeight="1">
      <c r="C278" s="25"/>
      <c r="D278" s="25"/>
      <c r="E278" s="25"/>
      <c r="F278" s="25"/>
      <c r="K278" s="25"/>
    </row>
    <row r="279" ht="15.75" customHeight="1">
      <c r="C279" s="25"/>
      <c r="D279" s="25"/>
      <c r="E279" s="25"/>
      <c r="F279" s="25"/>
      <c r="K279" s="25"/>
    </row>
    <row r="280" ht="15.75" customHeight="1">
      <c r="C280" s="25"/>
      <c r="D280" s="25"/>
      <c r="E280" s="25"/>
      <c r="F280" s="25"/>
      <c r="K280" s="25"/>
    </row>
    <row r="281" ht="15.75" customHeight="1">
      <c r="C281" s="25"/>
      <c r="D281" s="25"/>
      <c r="E281" s="25"/>
      <c r="F281" s="25"/>
      <c r="K281" s="25"/>
    </row>
    <row r="282" ht="15.75" customHeight="1">
      <c r="C282" s="25"/>
      <c r="D282" s="25"/>
      <c r="E282" s="25"/>
      <c r="F282" s="25"/>
      <c r="K282" s="25"/>
    </row>
    <row r="283" ht="15.75" customHeight="1">
      <c r="C283" s="25"/>
      <c r="D283" s="25"/>
      <c r="E283" s="25"/>
      <c r="F283" s="25"/>
      <c r="K283" s="25"/>
    </row>
    <row r="284" ht="15.75" customHeight="1">
      <c r="C284" s="25"/>
      <c r="D284" s="25"/>
      <c r="E284" s="25"/>
      <c r="F284" s="25"/>
      <c r="K284" s="25"/>
    </row>
    <row r="285" ht="15.75" customHeight="1">
      <c r="C285" s="25"/>
      <c r="D285" s="25"/>
      <c r="E285" s="25"/>
      <c r="F285" s="25"/>
      <c r="K285" s="25"/>
    </row>
    <row r="286" ht="15.75" customHeight="1">
      <c r="C286" s="25"/>
      <c r="D286" s="25"/>
      <c r="E286" s="25"/>
      <c r="F286" s="25"/>
      <c r="K286" s="25"/>
    </row>
    <row r="287" ht="15.75" customHeight="1">
      <c r="C287" s="25"/>
      <c r="D287" s="25"/>
      <c r="E287" s="25"/>
      <c r="F287" s="25"/>
      <c r="K287" s="25"/>
    </row>
    <row r="288" ht="15.75" customHeight="1">
      <c r="C288" s="25"/>
      <c r="D288" s="25"/>
      <c r="E288" s="25"/>
      <c r="F288" s="25"/>
      <c r="K288" s="25"/>
    </row>
    <row r="289" ht="15.75" customHeight="1">
      <c r="C289" s="25"/>
      <c r="D289" s="25"/>
      <c r="E289" s="25"/>
      <c r="F289" s="25"/>
      <c r="K289" s="25"/>
    </row>
    <row r="290" ht="15.75" customHeight="1">
      <c r="C290" s="25"/>
      <c r="D290" s="25"/>
      <c r="E290" s="25"/>
      <c r="F290" s="25"/>
      <c r="K290" s="25"/>
    </row>
    <row r="291" ht="15.75" customHeight="1">
      <c r="C291" s="25"/>
      <c r="D291" s="25"/>
      <c r="E291" s="25"/>
      <c r="F291" s="25"/>
      <c r="K291" s="25"/>
    </row>
    <row r="292" ht="15.75" customHeight="1">
      <c r="C292" s="25"/>
      <c r="D292" s="25"/>
      <c r="E292" s="25"/>
      <c r="F292" s="25"/>
      <c r="K292" s="25"/>
    </row>
    <row r="293" ht="15.75" customHeight="1">
      <c r="C293" s="25"/>
      <c r="D293" s="25"/>
      <c r="E293" s="25"/>
      <c r="F293" s="25"/>
      <c r="K293" s="25"/>
    </row>
    <row r="294" ht="15.75" customHeight="1">
      <c r="C294" s="25"/>
      <c r="D294" s="25"/>
      <c r="E294" s="25"/>
      <c r="F294" s="25"/>
      <c r="K294" s="25"/>
    </row>
    <row r="295" ht="15.75" customHeight="1">
      <c r="C295" s="25"/>
      <c r="D295" s="25"/>
      <c r="E295" s="25"/>
      <c r="F295" s="25"/>
      <c r="K295" s="25"/>
    </row>
    <row r="296" ht="15.75" customHeight="1">
      <c r="C296" s="25"/>
      <c r="D296" s="25"/>
      <c r="E296" s="25"/>
      <c r="F296" s="25"/>
      <c r="K296" s="25"/>
    </row>
    <row r="297" ht="15.75" customHeight="1">
      <c r="C297" s="25"/>
      <c r="D297" s="25"/>
      <c r="E297" s="25"/>
      <c r="F297" s="25"/>
      <c r="K297" s="25"/>
    </row>
    <row r="298" ht="15.75" customHeight="1">
      <c r="C298" s="25"/>
      <c r="D298" s="25"/>
      <c r="E298" s="25"/>
      <c r="F298" s="25"/>
      <c r="K298" s="25"/>
    </row>
    <row r="299" ht="15.75" customHeight="1">
      <c r="C299" s="25"/>
      <c r="D299" s="25"/>
      <c r="E299" s="25"/>
      <c r="F299" s="25"/>
      <c r="K299" s="25"/>
    </row>
    <row r="300" ht="15.75" customHeight="1">
      <c r="C300" s="25"/>
      <c r="D300" s="25"/>
      <c r="E300" s="25"/>
      <c r="F300" s="25"/>
      <c r="K300" s="25"/>
    </row>
    <row r="301" ht="15.75" customHeight="1">
      <c r="C301" s="25"/>
      <c r="D301" s="25"/>
      <c r="E301" s="25"/>
      <c r="F301" s="25"/>
      <c r="K301" s="25"/>
    </row>
    <row r="302" ht="15.75" customHeight="1">
      <c r="C302" s="25"/>
      <c r="D302" s="25"/>
      <c r="E302" s="25"/>
      <c r="F302" s="25"/>
      <c r="K302" s="25"/>
    </row>
    <row r="303" ht="15.75" customHeight="1">
      <c r="C303" s="25"/>
      <c r="D303" s="25"/>
      <c r="E303" s="25"/>
      <c r="F303" s="25"/>
      <c r="K303" s="25"/>
    </row>
    <row r="304" ht="15.75" customHeight="1">
      <c r="C304" s="25"/>
      <c r="D304" s="25"/>
      <c r="E304" s="25"/>
      <c r="F304" s="25"/>
      <c r="K304" s="25"/>
    </row>
    <row r="305" ht="15.75" customHeight="1">
      <c r="C305" s="25"/>
      <c r="D305" s="25"/>
      <c r="E305" s="25"/>
      <c r="F305" s="25"/>
      <c r="K305" s="25"/>
    </row>
    <row r="306" ht="15.75" customHeight="1">
      <c r="C306" s="25"/>
      <c r="D306" s="25"/>
      <c r="E306" s="25"/>
      <c r="F306" s="25"/>
      <c r="K306" s="25"/>
    </row>
    <row r="307" ht="15.75" customHeight="1">
      <c r="C307" s="25"/>
      <c r="D307" s="25"/>
      <c r="E307" s="25"/>
      <c r="F307" s="25"/>
      <c r="K307" s="25"/>
    </row>
    <row r="308" ht="15.75" customHeight="1">
      <c r="C308" s="25"/>
      <c r="D308" s="25"/>
      <c r="E308" s="25"/>
      <c r="F308" s="25"/>
      <c r="K308" s="25"/>
    </row>
    <row r="309" ht="15.75" customHeight="1">
      <c r="C309" s="25"/>
      <c r="D309" s="25"/>
      <c r="E309" s="25"/>
      <c r="F309" s="25"/>
      <c r="K309" s="25"/>
    </row>
    <row r="310" ht="15.75" customHeight="1">
      <c r="C310" s="25"/>
      <c r="D310" s="25"/>
      <c r="E310" s="25"/>
      <c r="F310" s="25"/>
      <c r="K310" s="25"/>
    </row>
    <row r="311" ht="15.75" customHeight="1">
      <c r="C311" s="25"/>
      <c r="D311" s="25"/>
      <c r="E311" s="25"/>
      <c r="F311" s="25"/>
      <c r="K311" s="25"/>
    </row>
    <row r="312" ht="15.75" customHeight="1">
      <c r="C312" s="25"/>
      <c r="D312" s="25"/>
      <c r="E312" s="25"/>
      <c r="F312" s="25"/>
      <c r="K312" s="25"/>
    </row>
    <row r="313" ht="15.75" customHeight="1">
      <c r="C313" s="25"/>
      <c r="D313" s="25"/>
      <c r="E313" s="25"/>
      <c r="F313" s="25"/>
      <c r="K313" s="25"/>
    </row>
    <row r="314" ht="15.75" customHeight="1">
      <c r="C314" s="25"/>
      <c r="D314" s="25"/>
      <c r="E314" s="25"/>
      <c r="F314" s="25"/>
      <c r="K314" s="25"/>
    </row>
    <row r="315" ht="15.75" customHeight="1">
      <c r="C315" s="25"/>
      <c r="D315" s="25"/>
      <c r="E315" s="25"/>
      <c r="F315" s="25"/>
      <c r="K315" s="25"/>
    </row>
    <row r="316" ht="15.75" customHeight="1">
      <c r="C316" s="25"/>
      <c r="D316" s="25"/>
      <c r="E316" s="25"/>
      <c r="F316" s="25"/>
      <c r="K316" s="25"/>
    </row>
    <row r="317" ht="15.75" customHeight="1">
      <c r="C317" s="25"/>
      <c r="D317" s="25"/>
      <c r="E317" s="25"/>
      <c r="F317" s="25"/>
      <c r="K317" s="25"/>
    </row>
    <row r="318" ht="15.75" customHeight="1">
      <c r="C318" s="25"/>
      <c r="D318" s="25"/>
      <c r="E318" s="25"/>
      <c r="F318" s="25"/>
      <c r="K318" s="25"/>
    </row>
    <row r="319" ht="15.75" customHeight="1">
      <c r="C319" s="25"/>
      <c r="D319" s="25"/>
      <c r="E319" s="25"/>
      <c r="F319" s="25"/>
      <c r="K319" s="25"/>
    </row>
    <row r="320" ht="15.75" customHeight="1">
      <c r="C320" s="25"/>
      <c r="D320" s="25"/>
      <c r="E320" s="25"/>
      <c r="F320" s="25"/>
      <c r="K320" s="25"/>
    </row>
    <row r="321" ht="15.75" customHeight="1">
      <c r="C321" s="25"/>
      <c r="D321" s="25"/>
      <c r="E321" s="25"/>
      <c r="F321" s="25"/>
      <c r="K321" s="25"/>
    </row>
    <row r="322" ht="15.75" customHeight="1">
      <c r="C322" s="25"/>
      <c r="D322" s="25"/>
      <c r="E322" s="25"/>
      <c r="F322" s="25"/>
      <c r="K322" s="25"/>
    </row>
    <row r="323" ht="15.75" customHeight="1">
      <c r="C323" s="25"/>
      <c r="D323" s="25"/>
      <c r="E323" s="25"/>
      <c r="F323" s="25"/>
      <c r="K323" s="25"/>
    </row>
    <row r="324" ht="15.75" customHeight="1">
      <c r="C324" s="25"/>
      <c r="D324" s="25"/>
      <c r="E324" s="25"/>
      <c r="F324" s="25"/>
      <c r="K324" s="25"/>
    </row>
    <row r="325" ht="15.75" customHeight="1">
      <c r="C325" s="25"/>
      <c r="D325" s="25"/>
      <c r="E325" s="25"/>
      <c r="F325" s="25"/>
      <c r="K325" s="25"/>
    </row>
    <row r="326" ht="15.75" customHeight="1">
      <c r="C326" s="25"/>
      <c r="D326" s="25"/>
      <c r="E326" s="25"/>
      <c r="F326" s="25"/>
      <c r="K326" s="25"/>
    </row>
    <row r="327" ht="15.75" customHeight="1">
      <c r="C327" s="25"/>
      <c r="D327" s="25"/>
      <c r="E327" s="25"/>
      <c r="F327" s="25"/>
      <c r="K327" s="25"/>
    </row>
    <row r="328" ht="15.75" customHeight="1">
      <c r="C328" s="25"/>
      <c r="D328" s="25"/>
      <c r="E328" s="25"/>
      <c r="F328" s="25"/>
      <c r="K328" s="25"/>
    </row>
    <row r="329" ht="15.75" customHeight="1">
      <c r="C329" s="25"/>
      <c r="D329" s="25"/>
      <c r="E329" s="25"/>
      <c r="F329" s="25"/>
      <c r="K329" s="25"/>
    </row>
    <row r="330" ht="15.75" customHeight="1">
      <c r="C330" s="25"/>
      <c r="D330" s="25"/>
      <c r="E330" s="25"/>
      <c r="F330" s="25"/>
      <c r="K330" s="25"/>
    </row>
    <row r="331" ht="15.75" customHeight="1">
      <c r="C331" s="25"/>
      <c r="D331" s="25"/>
      <c r="E331" s="25"/>
      <c r="F331" s="25"/>
      <c r="K331" s="25"/>
    </row>
    <row r="332" ht="15.75" customHeight="1">
      <c r="C332" s="25"/>
      <c r="D332" s="25"/>
      <c r="E332" s="25"/>
      <c r="F332" s="25"/>
      <c r="K332" s="25"/>
    </row>
    <row r="333" ht="15.75" customHeight="1">
      <c r="C333" s="25"/>
      <c r="D333" s="25"/>
      <c r="E333" s="25"/>
      <c r="F333" s="25"/>
      <c r="K333" s="25"/>
    </row>
    <row r="334" ht="15.75" customHeight="1">
      <c r="C334" s="25"/>
      <c r="D334" s="25"/>
      <c r="E334" s="25"/>
      <c r="F334" s="25"/>
      <c r="K334" s="25"/>
    </row>
    <row r="335" ht="15.75" customHeight="1">
      <c r="C335" s="25"/>
      <c r="D335" s="25"/>
      <c r="E335" s="25"/>
      <c r="F335" s="25"/>
      <c r="K335" s="25"/>
    </row>
    <row r="336" ht="15.75" customHeight="1">
      <c r="C336" s="25"/>
      <c r="D336" s="25"/>
      <c r="E336" s="25"/>
      <c r="F336" s="25"/>
      <c r="K336" s="25"/>
    </row>
    <row r="337" ht="15.75" customHeight="1">
      <c r="C337" s="25"/>
      <c r="D337" s="25"/>
      <c r="E337" s="25"/>
      <c r="F337" s="25"/>
      <c r="K337" s="25"/>
    </row>
    <row r="338" ht="15.75" customHeight="1">
      <c r="C338" s="25"/>
      <c r="D338" s="25"/>
      <c r="E338" s="25"/>
      <c r="F338" s="25"/>
      <c r="K338" s="25"/>
    </row>
    <row r="339" ht="15.75" customHeight="1">
      <c r="C339" s="25"/>
      <c r="D339" s="25"/>
      <c r="E339" s="25"/>
      <c r="F339" s="25"/>
      <c r="K339" s="25"/>
    </row>
    <row r="340" ht="15.75" customHeight="1">
      <c r="C340" s="25"/>
      <c r="D340" s="25"/>
      <c r="E340" s="25"/>
      <c r="F340" s="25"/>
      <c r="K340" s="25"/>
    </row>
    <row r="341" ht="15.75" customHeight="1">
      <c r="C341" s="25"/>
      <c r="D341" s="25"/>
      <c r="E341" s="25"/>
      <c r="F341" s="25"/>
      <c r="K341" s="25"/>
    </row>
    <row r="342" ht="15.75" customHeight="1">
      <c r="C342" s="25"/>
      <c r="D342" s="25"/>
      <c r="E342" s="25"/>
      <c r="F342" s="25"/>
      <c r="K342" s="25"/>
    </row>
    <row r="343" ht="15.75" customHeight="1">
      <c r="C343" s="25"/>
      <c r="D343" s="25"/>
      <c r="E343" s="25"/>
      <c r="F343" s="25"/>
      <c r="K343" s="25"/>
    </row>
    <row r="344" ht="15.75" customHeight="1">
      <c r="C344" s="25"/>
      <c r="D344" s="25"/>
      <c r="E344" s="25"/>
      <c r="F344" s="25"/>
      <c r="K344" s="25"/>
    </row>
    <row r="345" ht="15.75" customHeight="1">
      <c r="C345" s="25"/>
      <c r="D345" s="25"/>
      <c r="E345" s="25"/>
      <c r="F345" s="25"/>
      <c r="K345" s="25"/>
    </row>
    <row r="346" ht="15.75" customHeight="1">
      <c r="C346" s="25"/>
      <c r="D346" s="25"/>
      <c r="E346" s="25"/>
      <c r="F346" s="25"/>
      <c r="K346" s="25"/>
    </row>
    <row r="347" ht="15.75" customHeight="1">
      <c r="C347" s="25"/>
      <c r="D347" s="25"/>
      <c r="E347" s="25"/>
      <c r="F347" s="25"/>
      <c r="K347" s="25"/>
    </row>
    <row r="348" ht="15.75" customHeight="1">
      <c r="C348" s="25"/>
      <c r="D348" s="25"/>
      <c r="E348" s="25"/>
      <c r="F348" s="25"/>
      <c r="K348" s="25"/>
    </row>
    <row r="349" ht="15.75" customHeight="1">
      <c r="C349" s="25"/>
      <c r="D349" s="25"/>
      <c r="E349" s="25"/>
      <c r="F349" s="25"/>
      <c r="K349" s="25"/>
    </row>
    <row r="350" ht="15.75" customHeight="1">
      <c r="C350" s="25"/>
      <c r="D350" s="25"/>
      <c r="E350" s="25"/>
      <c r="F350" s="25"/>
      <c r="K350" s="25"/>
    </row>
    <row r="351" ht="15.75" customHeight="1">
      <c r="C351" s="25"/>
      <c r="D351" s="25"/>
      <c r="E351" s="25"/>
      <c r="F351" s="25"/>
      <c r="K351" s="25"/>
    </row>
    <row r="352" ht="15.75" customHeight="1">
      <c r="C352" s="25"/>
      <c r="D352" s="25"/>
      <c r="E352" s="25"/>
      <c r="F352" s="25"/>
      <c r="K352" s="25"/>
    </row>
    <row r="353" ht="15.75" customHeight="1">
      <c r="C353" s="25"/>
      <c r="D353" s="25"/>
      <c r="E353" s="25"/>
      <c r="F353" s="25"/>
      <c r="K353" s="25"/>
    </row>
    <row r="354" ht="15.75" customHeight="1">
      <c r="C354" s="25"/>
      <c r="D354" s="25"/>
      <c r="E354" s="25"/>
      <c r="F354" s="25"/>
      <c r="K354" s="25"/>
    </row>
    <row r="355" ht="15.75" customHeight="1">
      <c r="C355" s="25"/>
      <c r="D355" s="25"/>
      <c r="E355" s="25"/>
      <c r="F355" s="25"/>
      <c r="K355" s="25"/>
    </row>
    <row r="356" ht="15.75" customHeight="1">
      <c r="C356" s="25"/>
      <c r="D356" s="25"/>
      <c r="E356" s="25"/>
      <c r="F356" s="25"/>
      <c r="K356" s="25"/>
    </row>
    <row r="357" ht="15.75" customHeight="1">
      <c r="C357" s="25"/>
      <c r="D357" s="25"/>
      <c r="E357" s="25"/>
      <c r="F357" s="25"/>
      <c r="K357" s="25"/>
    </row>
    <row r="358" ht="15.75" customHeight="1">
      <c r="C358" s="25"/>
      <c r="D358" s="25"/>
      <c r="E358" s="25"/>
      <c r="F358" s="25"/>
      <c r="K358" s="25"/>
    </row>
    <row r="359" ht="15.75" customHeight="1">
      <c r="C359" s="25"/>
      <c r="D359" s="25"/>
      <c r="E359" s="25"/>
      <c r="F359" s="25"/>
      <c r="K359" s="25"/>
    </row>
    <row r="360" ht="15.75" customHeight="1">
      <c r="C360" s="25"/>
      <c r="D360" s="25"/>
      <c r="E360" s="25"/>
      <c r="F360" s="25"/>
      <c r="K360" s="25"/>
    </row>
    <row r="361" ht="15.75" customHeight="1">
      <c r="C361" s="25"/>
      <c r="D361" s="25"/>
      <c r="E361" s="25"/>
      <c r="F361" s="25"/>
      <c r="K361" s="25"/>
    </row>
    <row r="362" ht="15.75" customHeight="1">
      <c r="C362" s="25"/>
      <c r="D362" s="25"/>
      <c r="E362" s="25"/>
      <c r="F362" s="25"/>
      <c r="K362" s="25"/>
    </row>
    <row r="363" ht="15.75" customHeight="1">
      <c r="C363" s="25"/>
      <c r="D363" s="25"/>
      <c r="E363" s="25"/>
      <c r="F363" s="25"/>
      <c r="K363" s="25"/>
    </row>
    <row r="364" ht="15.75" customHeight="1">
      <c r="C364" s="25"/>
      <c r="D364" s="25"/>
      <c r="E364" s="25"/>
      <c r="F364" s="25"/>
      <c r="K364" s="25"/>
    </row>
    <row r="365" ht="15.75" customHeight="1">
      <c r="C365" s="25"/>
      <c r="D365" s="25"/>
      <c r="E365" s="25"/>
      <c r="F365" s="25"/>
      <c r="K365" s="25"/>
    </row>
    <row r="366" ht="15.75" customHeight="1">
      <c r="C366" s="25"/>
      <c r="D366" s="25"/>
      <c r="E366" s="25"/>
      <c r="F366" s="25"/>
      <c r="K366" s="25"/>
    </row>
    <row r="367" ht="15.75" customHeight="1">
      <c r="C367" s="25"/>
      <c r="D367" s="25"/>
      <c r="E367" s="25"/>
      <c r="F367" s="25"/>
      <c r="K367" s="25"/>
    </row>
    <row r="368" ht="15.75" customHeight="1">
      <c r="C368" s="25"/>
      <c r="D368" s="25"/>
      <c r="E368" s="25"/>
      <c r="F368" s="25"/>
      <c r="K368" s="25"/>
    </row>
    <row r="369" ht="15.75" customHeight="1">
      <c r="C369" s="25"/>
      <c r="D369" s="25"/>
      <c r="E369" s="25"/>
      <c r="F369" s="25"/>
      <c r="K369" s="25"/>
    </row>
    <row r="370" ht="15.75" customHeight="1">
      <c r="C370" s="25"/>
      <c r="D370" s="25"/>
      <c r="E370" s="25"/>
      <c r="F370" s="25"/>
      <c r="K370" s="25"/>
    </row>
    <row r="371" ht="15.75" customHeight="1">
      <c r="C371" s="25"/>
      <c r="D371" s="25"/>
      <c r="E371" s="25"/>
      <c r="F371" s="25"/>
      <c r="K371" s="25"/>
    </row>
    <row r="372" ht="15.75" customHeight="1">
      <c r="C372" s="25"/>
      <c r="D372" s="25"/>
      <c r="E372" s="25"/>
      <c r="F372" s="25"/>
      <c r="K372" s="25"/>
    </row>
    <row r="373" ht="15.75" customHeight="1">
      <c r="C373" s="25"/>
      <c r="D373" s="25"/>
      <c r="E373" s="25"/>
      <c r="F373" s="25"/>
      <c r="K373" s="25"/>
    </row>
    <row r="374" ht="15.75" customHeight="1">
      <c r="C374" s="25"/>
      <c r="D374" s="25"/>
      <c r="E374" s="25"/>
      <c r="F374" s="25"/>
      <c r="K374" s="25"/>
    </row>
    <row r="375" ht="15.75" customHeight="1">
      <c r="C375" s="25"/>
      <c r="D375" s="25"/>
      <c r="E375" s="25"/>
      <c r="F375" s="25"/>
      <c r="K375" s="25"/>
    </row>
    <row r="376" ht="15.75" customHeight="1">
      <c r="C376" s="25"/>
      <c r="D376" s="25"/>
      <c r="E376" s="25"/>
      <c r="F376" s="25"/>
      <c r="K376" s="25"/>
    </row>
    <row r="377" ht="15.75" customHeight="1">
      <c r="C377" s="25"/>
      <c r="D377" s="25"/>
      <c r="E377" s="25"/>
      <c r="F377" s="25"/>
      <c r="K377" s="25"/>
    </row>
    <row r="378" ht="15.75" customHeight="1">
      <c r="C378" s="25"/>
      <c r="D378" s="25"/>
      <c r="E378" s="25"/>
      <c r="F378" s="25"/>
      <c r="K378" s="25"/>
    </row>
    <row r="379" ht="15.75" customHeight="1">
      <c r="C379" s="25"/>
      <c r="D379" s="25"/>
      <c r="E379" s="25"/>
      <c r="F379" s="25"/>
      <c r="K379" s="25"/>
    </row>
    <row r="380" ht="15.75" customHeight="1">
      <c r="C380" s="25"/>
      <c r="D380" s="25"/>
      <c r="E380" s="25"/>
      <c r="F380" s="25"/>
      <c r="K380" s="25"/>
    </row>
    <row r="381" ht="15.75" customHeight="1">
      <c r="C381" s="25"/>
      <c r="D381" s="25"/>
      <c r="E381" s="25"/>
      <c r="F381" s="25"/>
      <c r="K381" s="25"/>
    </row>
    <row r="382" ht="15.75" customHeight="1">
      <c r="C382" s="25"/>
      <c r="D382" s="25"/>
      <c r="E382" s="25"/>
      <c r="F382" s="25"/>
      <c r="K382" s="25"/>
    </row>
    <row r="383" ht="15.75" customHeight="1">
      <c r="C383" s="25"/>
      <c r="D383" s="25"/>
      <c r="E383" s="25"/>
      <c r="F383" s="25"/>
      <c r="K383" s="25"/>
    </row>
    <row r="384" ht="15.75" customHeight="1">
      <c r="C384" s="25"/>
      <c r="D384" s="25"/>
      <c r="E384" s="25"/>
      <c r="F384" s="25"/>
      <c r="K384" s="25"/>
    </row>
    <row r="385" ht="15.75" customHeight="1">
      <c r="C385" s="25"/>
      <c r="D385" s="25"/>
      <c r="E385" s="25"/>
      <c r="F385" s="25"/>
      <c r="K385" s="25"/>
    </row>
    <row r="386" ht="15.75" customHeight="1">
      <c r="C386" s="25"/>
      <c r="D386" s="25"/>
      <c r="E386" s="25"/>
      <c r="F386" s="25"/>
      <c r="K386" s="25"/>
    </row>
    <row r="387" ht="15.75" customHeight="1">
      <c r="C387" s="25"/>
      <c r="D387" s="25"/>
      <c r="E387" s="25"/>
      <c r="F387" s="25"/>
      <c r="K387" s="25"/>
    </row>
    <row r="388" ht="15.75" customHeight="1">
      <c r="C388" s="25"/>
      <c r="D388" s="25"/>
      <c r="E388" s="25"/>
      <c r="F388" s="25"/>
      <c r="K388" s="25"/>
    </row>
    <row r="389" ht="15.75" customHeight="1">
      <c r="C389" s="25"/>
      <c r="D389" s="25"/>
      <c r="E389" s="25"/>
      <c r="F389" s="25"/>
      <c r="K389" s="25"/>
    </row>
    <row r="390" ht="15.75" customHeight="1">
      <c r="C390" s="25"/>
      <c r="D390" s="25"/>
      <c r="E390" s="25"/>
      <c r="F390" s="25"/>
      <c r="K390" s="25"/>
    </row>
    <row r="391" ht="15.75" customHeight="1">
      <c r="C391" s="25"/>
      <c r="D391" s="25"/>
      <c r="E391" s="25"/>
      <c r="F391" s="25"/>
      <c r="K391" s="25"/>
    </row>
    <row r="392" ht="15.75" customHeight="1">
      <c r="C392" s="25"/>
      <c r="D392" s="25"/>
      <c r="E392" s="25"/>
      <c r="F392" s="25"/>
      <c r="K392" s="25"/>
    </row>
    <row r="393" ht="15.75" customHeight="1">
      <c r="C393" s="25"/>
      <c r="D393" s="25"/>
      <c r="E393" s="25"/>
      <c r="F393" s="25"/>
      <c r="K393" s="25"/>
    </row>
    <row r="394" ht="15.75" customHeight="1">
      <c r="C394" s="25"/>
      <c r="D394" s="25"/>
      <c r="E394" s="25"/>
      <c r="F394" s="25"/>
      <c r="K394" s="25"/>
    </row>
    <row r="395" ht="15.75" customHeight="1">
      <c r="C395" s="25"/>
      <c r="D395" s="25"/>
      <c r="E395" s="25"/>
      <c r="F395" s="25"/>
      <c r="K395" s="25"/>
    </row>
    <row r="396" ht="15.75" customHeight="1">
      <c r="C396" s="25"/>
      <c r="D396" s="25"/>
      <c r="E396" s="25"/>
      <c r="F396" s="25"/>
      <c r="K396" s="25"/>
    </row>
    <row r="397" ht="15.75" customHeight="1">
      <c r="C397" s="25"/>
      <c r="D397" s="25"/>
      <c r="E397" s="25"/>
      <c r="F397" s="25"/>
      <c r="K397" s="25"/>
    </row>
    <row r="398" ht="15.75" customHeight="1">
      <c r="C398" s="25"/>
      <c r="D398" s="25"/>
      <c r="E398" s="25"/>
      <c r="F398" s="25"/>
      <c r="K398" s="25"/>
    </row>
    <row r="399" ht="15.75" customHeight="1">
      <c r="C399" s="25"/>
      <c r="D399" s="25"/>
      <c r="E399" s="25"/>
      <c r="F399" s="25"/>
      <c r="K399" s="25"/>
    </row>
    <row r="400" ht="15.75" customHeight="1">
      <c r="C400" s="25"/>
      <c r="D400" s="25"/>
      <c r="E400" s="25"/>
      <c r="F400" s="25"/>
      <c r="K400" s="25"/>
    </row>
    <row r="401" ht="15.75" customHeight="1">
      <c r="C401" s="25"/>
      <c r="D401" s="25"/>
      <c r="E401" s="25"/>
      <c r="F401" s="25"/>
      <c r="K401" s="25"/>
    </row>
    <row r="402" ht="15.75" customHeight="1">
      <c r="C402" s="25"/>
      <c r="D402" s="25"/>
      <c r="E402" s="25"/>
      <c r="F402" s="25"/>
      <c r="K402" s="25"/>
    </row>
    <row r="403" ht="15.75" customHeight="1">
      <c r="C403" s="25"/>
      <c r="D403" s="25"/>
      <c r="E403" s="25"/>
      <c r="F403" s="25"/>
      <c r="K403" s="25"/>
    </row>
    <row r="404" ht="15.75" customHeight="1">
      <c r="C404" s="25"/>
      <c r="D404" s="25"/>
      <c r="E404" s="25"/>
      <c r="F404" s="25"/>
      <c r="K404" s="25"/>
    </row>
    <row r="405" ht="15.75" customHeight="1">
      <c r="C405" s="25"/>
      <c r="D405" s="25"/>
      <c r="E405" s="25"/>
      <c r="F405" s="25"/>
      <c r="K405" s="25"/>
    </row>
    <row r="406" ht="15.75" customHeight="1">
      <c r="C406" s="25"/>
      <c r="D406" s="25"/>
      <c r="E406" s="25"/>
      <c r="F406" s="25"/>
      <c r="K406" s="25"/>
    </row>
    <row r="407" ht="15.75" customHeight="1">
      <c r="C407" s="25"/>
      <c r="D407" s="25"/>
      <c r="E407" s="25"/>
      <c r="F407" s="25"/>
      <c r="K407" s="25"/>
    </row>
    <row r="408" ht="15.75" customHeight="1">
      <c r="C408" s="25"/>
      <c r="D408" s="25"/>
      <c r="E408" s="25"/>
      <c r="F408" s="25"/>
      <c r="K408" s="25"/>
    </row>
    <row r="409" ht="15.75" customHeight="1">
      <c r="C409" s="25"/>
      <c r="D409" s="25"/>
      <c r="E409" s="25"/>
      <c r="F409" s="25"/>
      <c r="K409" s="25"/>
    </row>
    <row r="410" ht="15.75" customHeight="1">
      <c r="C410" s="25"/>
      <c r="D410" s="25"/>
      <c r="E410" s="25"/>
      <c r="F410" s="25"/>
      <c r="K410" s="25"/>
    </row>
    <row r="411" ht="15.75" customHeight="1">
      <c r="C411" s="25"/>
      <c r="D411" s="25"/>
      <c r="E411" s="25"/>
      <c r="F411" s="25"/>
      <c r="K411" s="25"/>
    </row>
    <row r="412" ht="15.75" customHeight="1">
      <c r="C412" s="25"/>
      <c r="D412" s="25"/>
      <c r="E412" s="25"/>
      <c r="F412" s="25"/>
      <c r="K412" s="25"/>
    </row>
    <row r="413" ht="15.75" customHeight="1">
      <c r="C413" s="25"/>
      <c r="D413" s="25"/>
      <c r="E413" s="25"/>
      <c r="F413" s="25"/>
      <c r="K413" s="25"/>
    </row>
    <row r="414" ht="15.75" customHeight="1">
      <c r="C414" s="25"/>
      <c r="D414" s="25"/>
      <c r="E414" s="25"/>
      <c r="F414" s="25"/>
      <c r="K414" s="25"/>
    </row>
    <row r="415" ht="15.75" customHeight="1">
      <c r="C415" s="25"/>
      <c r="D415" s="25"/>
      <c r="E415" s="25"/>
      <c r="F415" s="25"/>
      <c r="K415" s="25"/>
    </row>
    <row r="416" ht="15.75" customHeight="1">
      <c r="C416" s="25"/>
      <c r="D416" s="25"/>
      <c r="E416" s="25"/>
      <c r="F416" s="25"/>
      <c r="K416" s="25"/>
    </row>
    <row r="417" ht="15.75" customHeight="1">
      <c r="C417" s="25"/>
      <c r="D417" s="25"/>
      <c r="E417" s="25"/>
      <c r="F417" s="25"/>
      <c r="K417" s="25"/>
    </row>
    <row r="418" ht="15.75" customHeight="1">
      <c r="C418" s="25"/>
      <c r="D418" s="25"/>
      <c r="E418" s="25"/>
      <c r="F418" s="25"/>
      <c r="K418" s="25"/>
    </row>
    <row r="419" ht="15.75" customHeight="1">
      <c r="C419" s="25"/>
      <c r="D419" s="25"/>
      <c r="E419" s="25"/>
      <c r="F419" s="25"/>
      <c r="K419" s="25"/>
    </row>
    <row r="420" ht="15.75" customHeight="1">
      <c r="C420" s="25"/>
      <c r="D420" s="25"/>
      <c r="E420" s="25"/>
      <c r="F420" s="25"/>
      <c r="K420" s="25"/>
    </row>
    <row r="421" ht="15.75" customHeight="1">
      <c r="C421" s="25"/>
      <c r="D421" s="25"/>
      <c r="E421" s="25"/>
      <c r="F421" s="25"/>
      <c r="K421" s="25"/>
    </row>
    <row r="422" ht="15.75" customHeight="1">
      <c r="C422" s="25"/>
      <c r="D422" s="25"/>
      <c r="E422" s="25"/>
      <c r="F422" s="25"/>
      <c r="K422" s="25"/>
    </row>
    <row r="423" ht="15.75" customHeight="1">
      <c r="C423" s="25"/>
      <c r="D423" s="25"/>
      <c r="E423" s="25"/>
      <c r="F423" s="25"/>
      <c r="K423" s="25"/>
    </row>
    <row r="424" ht="15.75" customHeight="1">
      <c r="C424" s="25"/>
      <c r="D424" s="25"/>
      <c r="E424" s="25"/>
      <c r="F424" s="25"/>
      <c r="K424" s="25"/>
    </row>
    <row r="425" ht="15.75" customHeight="1">
      <c r="C425" s="25"/>
      <c r="D425" s="25"/>
      <c r="E425" s="25"/>
      <c r="F425" s="25"/>
      <c r="K425" s="25"/>
    </row>
    <row r="426" ht="15.75" customHeight="1">
      <c r="C426" s="25"/>
      <c r="D426" s="25"/>
      <c r="E426" s="25"/>
      <c r="F426" s="25"/>
      <c r="K426" s="25"/>
    </row>
    <row r="427" ht="15.75" customHeight="1">
      <c r="C427" s="25"/>
      <c r="D427" s="25"/>
      <c r="E427" s="25"/>
      <c r="F427" s="25"/>
      <c r="K427" s="25"/>
    </row>
    <row r="428" ht="15.75" customHeight="1">
      <c r="C428" s="25"/>
      <c r="D428" s="25"/>
      <c r="E428" s="25"/>
      <c r="F428" s="25"/>
      <c r="K428" s="25"/>
    </row>
    <row r="429" ht="15.75" customHeight="1">
      <c r="C429" s="25"/>
      <c r="D429" s="25"/>
      <c r="E429" s="25"/>
      <c r="F429" s="25"/>
      <c r="K429" s="25"/>
    </row>
    <row r="430" ht="15.75" customHeight="1">
      <c r="C430" s="25"/>
      <c r="D430" s="25"/>
      <c r="E430" s="25"/>
      <c r="F430" s="25"/>
      <c r="K430" s="25"/>
    </row>
    <row r="431" ht="15.75" customHeight="1">
      <c r="C431" s="25"/>
      <c r="D431" s="25"/>
      <c r="E431" s="25"/>
      <c r="F431" s="25"/>
      <c r="K431" s="25"/>
    </row>
    <row r="432" ht="15.75" customHeight="1">
      <c r="C432" s="25"/>
      <c r="D432" s="25"/>
      <c r="E432" s="25"/>
      <c r="F432" s="25"/>
      <c r="K432" s="25"/>
    </row>
    <row r="433" ht="15.75" customHeight="1">
      <c r="C433" s="25"/>
      <c r="D433" s="25"/>
      <c r="E433" s="25"/>
      <c r="F433" s="25"/>
      <c r="K433" s="25"/>
    </row>
    <row r="434" ht="15.75" customHeight="1">
      <c r="C434" s="25"/>
      <c r="D434" s="25"/>
      <c r="E434" s="25"/>
      <c r="F434" s="25"/>
      <c r="K434" s="25"/>
    </row>
    <row r="435" ht="15.75" customHeight="1">
      <c r="C435" s="25"/>
      <c r="D435" s="25"/>
      <c r="E435" s="25"/>
      <c r="F435" s="25"/>
      <c r="K435" s="25"/>
    </row>
    <row r="436" ht="15.75" customHeight="1">
      <c r="C436" s="25"/>
      <c r="D436" s="25"/>
      <c r="E436" s="25"/>
      <c r="F436" s="25"/>
      <c r="K436" s="25"/>
    </row>
    <row r="437" ht="15.75" customHeight="1">
      <c r="C437" s="25"/>
      <c r="D437" s="25"/>
      <c r="E437" s="25"/>
      <c r="F437" s="25"/>
      <c r="K437" s="25"/>
    </row>
    <row r="438" ht="15.75" customHeight="1">
      <c r="C438" s="25"/>
      <c r="D438" s="25"/>
      <c r="E438" s="25"/>
      <c r="F438" s="25"/>
      <c r="K438" s="25"/>
    </row>
    <row r="439" ht="15.75" customHeight="1">
      <c r="C439" s="25"/>
      <c r="D439" s="25"/>
      <c r="E439" s="25"/>
      <c r="F439" s="25"/>
      <c r="K439" s="25"/>
    </row>
    <row r="440" ht="15.75" customHeight="1">
      <c r="C440" s="25"/>
      <c r="D440" s="25"/>
      <c r="E440" s="25"/>
      <c r="F440" s="25"/>
      <c r="K440" s="25"/>
    </row>
    <row r="441" ht="15.75" customHeight="1">
      <c r="C441" s="25"/>
      <c r="D441" s="25"/>
      <c r="E441" s="25"/>
      <c r="F441" s="25"/>
      <c r="K441" s="25"/>
    </row>
    <row r="442" ht="15.75" customHeight="1">
      <c r="C442" s="25"/>
      <c r="D442" s="25"/>
      <c r="E442" s="25"/>
      <c r="F442" s="25"/>
      <c r="K442" s="25"/>
    </row>
    <row r="443" ht="15.75" customHeight="1">
      <c r="C443" s="25"/>
      <c r="D443" s="25"/>
      <c r="E443" s="25"/>
      <c r="F443" s="25"/>
      <c r="K443" s="25"/>
    </row>
    <row r="444" ht="15.75" customHeight="1">
      <c r="C444" s="25"/>
      <c r="D444" s="25"/>
      <c r="E444" s="25"/>
      <c r="F444" s="25"/>
      <c r="K444" s="25"/>
    </row>
    <row r="445" ht="15.75" customHeight="1">
      <c r="C445" s="25"/>
      <c r="D445" s="25"/>
      <c r="E445" s="25"/>
      <c r="F445" s="25"/>
      <c r="K445" s="25"/>
    </row>
    <row r="446" ht="15.75" customHeight="1">
      <c r="C446" s="25"/>
      <c r="D446" s="25"/>
      <c r="E446" s="25"/>
      <c r="F446" s="25"/>
      <c r="K446" s="25"/>
    </row>
    <row r="447" ht="15.75" customHeight="1">
      <c r="C447" s="25"/>
      <c r="D447" s="25"/>
      <c r="E447" s="25"/>
      <c r="F447" s="25"/>
      <c r="K447" s="25"/>
    </row>
    <row r="448" ht="15.75" customHeight="1">
      <c r="C448" s="25"/>
      <c r="D448" s="25"/>
      <c r="E448" s="25"/>
      <c r="F448" s="25"/>
      <c r="K448" s="25"/>
    </row>
    <row r="449" ht="15.75" customHeight="1">
      <c r="C449" s="25"/>
      <c r="D449" s="25"/>
      <c r="E449" s="25"/>
      <c r="F449" s="25"/>
      <c r="K449" s="25"/>
    </row>
    <row r="450" ht="15.75" customHeight="1">
      <c r="C450" s="25"/>
      <c r="D450" s="25"/>
      <c r="E450" s="25"/>
      <c r="F450" s="25"/>
      <c r="K450" s="25"/>
    </row>
    <row r="451" ht="15.75" customHeight="1">
      <c r="C451" s="25"/>
      <c r="D451" s="25"/>
      <c r="E451" s="25"/>
      <c r="F451" s="25"/>
      <c r="K451" s="25"/>
    </row>
    <row r="452" ht="15.75" customHeight="1">
      <c r="C452" s="25"/>
      <c r="D452" s="25"/>
      <c r="E452" s="25"/>
      <c r="F452" s="25"/>
      <c r="K452" s="25"/>
    </row>
    <row r="453" ht="15.75" customHeight="1">
      <c r="C453" s="25"/>
      <c r="D453" s="25"/>
      <c r="E453" s="25"/>
      <c r="F453" s="25"/>
      <c r="K453" s="25"/>
    </row>
    <row r="454" ht="15.75" customHeight="1">
      <c r="C454" s="25"/>
      <c r="D454" s="25"/>
      <c r="E454" s="25"/>
      <c r="F454" s="25"/>
      <c r="K454" s="25"/>
    </row>
    <row r="455" ht="15.75" customHeight="1">
      <c r="C455" s="25"/>
      <c r="D455" s="25"/>
      <c r="E455" s="25"/>
      <c r="F455" s="25"/>
      <c r="K455" s="25"/>
    </row>
    <row r="456" ht="15.75" customHeight="1">
      <c r="C456" s="25"/>
      <c r="D456" s="25"/>
      <c r="E456" s="25"/>
      <c r="F456" s="25"/>
      <c r="K456" s="25"/>
    </row>
    <row r="457" ht="15.75" customHeight="1">
      <c r="C457" s="25"/>
      <c r="D457" s="25"/>
      <c r="E457" s="25"/>
      <c r="F457" s="25"/>
      <c r="K457" s="25"/>
    </row>
    <row r="458" ht="15.75" customHeight="1">
      <c r="C458" s="25"/>
      <c r="D458" s="25"/>
      <c r="E458" s="25"/>
      <c r="F458" s="25"/>
      <c r="K458" s="25"/>
    </row>
    <row r="459" ht="15.75" customHeight="1">
      <c r="C459" s="25"/>
      <c r="D459" s="25"/>
      <c r="E459" s="25"/>
      <c r="F459" s="25"/>
      <c r="K459" s="25"/>
    </row>
    <row r="460" ht="15.75" customHeight="1">
      <c r="C460" s="25"/>
      <c r="D460" s="25"/>
      <c r="E460" s="25"/>
      <c r="F460" s="25"/>
      <c r="K460" s="25"/>
    </row>
    <row r="461" ht="15.75" customHeight="1">
      <c r="C461" s="25"/>
      <c r="D461" s="25"/>
      <c r="E461" s="25"/>
      <c r="F461" s="25"/>
      <c r="K461" s="25"/>
    </row>
    <row r="462" ht="15.75" customHeight="1">
      <c r="C462" s="25"/>
      <c r="D462" s="25"/>
      <c r="E462" s="25"/>
      <c r="F462" s="25"/>
      <c r="K462" s="25"/>
    </row>
    <row r="463" ht="15.75" customHeight="1">
      <c r="C463" s="25"/>
      <c r="D463" s="25"/>
      <c r="E463" s="25"/>
      <c r="F463" s="25"/>
      <c r="K463" s="25"/>
    </row>
    <row r="464" ht="15.75" customHeight="1">
      <c r="C464" s="25"/>
      <c r="D464" s="25"/>
      <c r="E464" s="25"/>
      <c r="F464" s="25"/>
      <c r="K464" s="25"/>
    </row>
    <row r="465" ht="15.75" customHeight="1">
      <c r="C465" s="25"/>
      <c r="D465" s="25"/>
      <c r="E465" s="25"/>
      <c r="F465" s="25"/>
      <c r="K465" s="25"/>
    </row>
    <row r="466" ht="15.75" customHeight="1">
      <c r="C466" s="25"/>
      <c r="D466" s="25"/>
      <c r="E466" s="25"/>
      <c r="F466" s="25"/>
      <c r="K466" s="25"/>
    </row>
    <row r="467" ht="15.75" customHeight="1">
      <c r="C467" s="25"/>
      <c r="D467" s="25"/>
      <c r="E467" s="25"/>
      <c r="F467" s="25"/>
      <c r="K467" s="25"/>
    </row>
    <row r="468" ht="15.75" customHeight="1">
      <c r="C468" s="25"/>
      <c r="D468" s="25"/>
      <c r="E468" s="25"/>
      <c r="F468" s="25"/>
      <c r="K468" s="25"/>
    </row>
    <row r="469" ht="15.75" customHeight="1">
      <c r="C469" s="25"/>
      <c r="D469" s="25"/>
      <c r="E469" s="25"/>
      <c r="F469" s="25"/>
      <c r="K469" s="25"/>
    </row>
    <row r="470" ht="15.75" customHeight="1">
      <c r="C470" s="25"/>
      <c r="D470" s="25"/>
      <c r="E470" s="25"/>
      <c r="F470" s="25"/>
      <c r="K470" s="25"/>
    </row>
    <row r="471" ht="15.75" customHeight="1">
      <c r="C471" s="25"/>
      <c r="D471" s="25"/>
      <c r="E471" s="25"/>
      <c r="F471" s="25"/>
      <c r="K471" s="25"/>
    </row>
    <row r="472" ht="15.75" customHeight="1">
      <c r="C472" s="25"/>
      <c r="D472" s="25"/>
      <c r="E472" s="25"/>
      <c r="F472" s="25"/>
      <c r="K472" s="25"/>
    </row>
    <row r="473" ht="15.75" customHeight="1">
      <c r="C473" s="25"/>
      <c r="D473" s="25"/>
      <c r="E473" s="25"/>
      <c r="F473" s="25"/>
      <c r="K473" s="25"/>
    </row>
    <row r="474" ht="15.75" customHeight="1">
      <c r="C474" s="25"/>
      <c r="D474" s="25"/>
      <c r="E474" s="25"/>
      <c r="F474" s="25"/>
      <c r="K474" s="25"/>
    </row>
    <row r="475" ht="15.75" customHeight="1">
      <c r="C475" s="25"/>
      <c r="D475" s="25"/>
      <c r="E475" s="25"/>
      <c r="F475" s="25"/>
      <c r="K475" s="25"/>
    </row>
    <row r="476" ht="15.75" customHeight="1">
      <c r="C476" s="25"/>
      <c r="D476" s="25"/>
      <c r="E476" s="25"/>
      <c r="F476" s="25"/>
      <c r="K476" s="25"/>
    </row>
    <row r="477" ht="15.75" customHeight="1">
      <c r="C477" s="25"/>
      <c r="D477" s="25"/>
      <c r="E477" s="25"/>
      <c r="F477" s="25"/>
      <c r="K477" s="25"/>
    </row>
    <row r="478" ht="15.75" customHeight="1">
      <c r="C478" s="25"/>
      <c r="D478" s="25"/>
      <c r="E478" s="25"/>
      <c r="F478" s="25"/>
      <c r="K478" s="25"/>
    </row>
    <row r="479" ht="15.75" customHeight="1">
      <c r="C479" s="25"/>
      <c r="D479" s="25"/>
      <c r="E479" s="25"/>
      <c r="F479" s="25"/>
      <c r="K479" s="25"/>
    </row>
    <row r="480" ht="15.75" customHeight="1">
      <c r="C480" s="25"/>
      <c r="D480" s="25"/>
      <c r="E480" s="25"/>
      <c r="F480" s="25"/>
      <c r="K480" s="25"/>
    </row>
    <row r="481" ht="15.75" customHeight="1">
      <c r="C481" s="25"/>
      <c r="D481" s="25"/>
      <c r="E481" s="25"/>
      <c r="F481" s="25"/>
      <c r="K481" s="25"/>
    </row>
    <row r="482" ht="15.75" customHeight="1">
      <c r="C482" s="25"/>
      <c r="D482" s="25"/>
      <c r="E482" s="25"/>
      <c r="F482" s="25"/>
      <c r="K482" s="25"/>
    </row>
    <row r="483" ht="15.75" customHeight="1">
      <c r="C483" s="25"/>
      <c r="D483" s="25"/>
      <c r="E483" s="25"/>
      <c r="F483" s="25"/>
      <c r="K483" s="25"/>
    </row>
    <row r="484" ht="15.75" customHeight="1">
      <c r="C484" s="25"/>
      <c r="D484" s="25"/>
      <c r="E484" s="25"/>
      <c r="F484" s="25"/>
      <c r="K484" s="25"/>
    </row>
    <row r="485" ht="15.75" customHeight="1">
      <c r="C485" s="25"/>
      <c r="D485" s="25"/>
      <c r="E485" s="25"/>
      <c r="F485" s="25"/>
      <c r="K485" s="25"/>
    </row>
    <row r="486" ht="15.75" customHeight="1">
      <c r="C486" s="25"/>
      <c r="D486" s="25"/>
      <c r="E486" s="25"/>
      <c r="F486" s="25"/>
      <c r="K486" s="25"/>
    </row>
    <row r="487" ht="15.75" customHeight="1">
      <c r="C487" s="25"/>
      <c r="D487" s="25"/>
      <c r="E487" s="25"/>
      <c r="F487" s="25"/>
      <c r="K487" s="25"/>
    </row>
    <row r="488" ht="15.75" customHeight="1">
      <c r="C488" s="25"/>
      <c r="D488" s="25"/>
      <c r="E488" s="25"/>
      <c r="F488" s="25"/>
      <c r="K488" s="25"/>
    </row>
    <row r="489" ht="15.75" customHeight="1">
      <c r="C489" s="25"/>
      <c r="D489" s="25"/>
      <c r="E489" s="25"/>
      <c r="F489" s="25"/>
      <c r="K489" s="25"/>
    </row>
    <row r="490" ht="15.75" customHeight="1">
      <c r="C490" s="25"/>
      <c r="D490" s="25"/>
      <c r="E490" s="25"/>
      <c r="F490" s="25"/>
      <c r="K490" s="25"/>
    </row>
    <row r="491" ht="15.75" customHeight="1">
      <c r="C491" s="25"/>
      <c r="D491" s="25"/>
      <c r="E491" s="25"/>
      <c r="F491" s="25"/>
      <c r="K491" s="25"/>
    </row>
    <row r="492" ht="15.75" customHeight="1">
      <c r="C492" s="25"/>
      <c r="D492" s="25"/>
      <c r="E492" s="25"/>
      <c r="F492" s="25"/>
      <c r="K492" s="25"/>
    </row>
    <row r="493" ht="15.75" customHeight="1">
      <c r="C493" s="25"/>
      <c r="D493" s="25"/>
      <c r="E493" s="25"/>
      <c r="F493" s="25"/>
      <c r="K493" s="25"/>
    </row>
    <row r="494" ht="15.75" customHeight="1">
      <c r="C494" s="25"/>
      <c r="D494" s="25"/>
      <c r="E494" s="25"/>
      <c r="F494" s="25"/>
      <c r="K494" s="25"/>
    </row>
    <row r="495" ht="15.75" customHeight="1">
      <c r="C495" s="25"/>
      <c r="D495" s="25"/>
      <c r="E495" s="25"/>
      <c r="F495" s="25"/>
      <c r="K495" s="25"/>
    </row>
    <row r="496" ht="15.75" customHeight="1">
      <c r="C496" s="25"/>
      <c r="D496" s="25"/>
      <c r="E496" s="25"/>
      <c r="F496" s="25"/>
      <c r="K496" s="25"/>
    </row>
    <row r="497" ht="15.75" customHeight="1">
      <c r="C497" s="25"/>
      <c r="D497" s="25"/>
      <c r="E497" s="25"/>
      <c r="F497" s="25"/>
      <c r="K497" s="25"/>
    </row>
    <row r="498" ht="15.75" customHeight="1">
      <c r="C498" s="25"/>
      <c r="D498" s="25"/>
      <c r="E498" s="25"/>
      <c r="F498" s="25"/>
      <c r="K498" s="25"/>
    </row>
    <row r="499" ht="15.75" customHeight="1">
      <c r="C499" s="25"/>
      <c r="D499" s="25"/>
      <c r="E499" s="25"/>
      <c r="F499" s="25"/>
      <c r="K499" s="25"/>
    </row>
    <row r="500" ht="15.75" customHeight="1">
      <c r="C500" s="25"/>
      <c r="D500" s="25"/>
      <c r="E500" s="25"/>
      <c r="F500" s="25"/>
      <c r="K500" s="25"/>
    </row>
    <row r="501" ht="15.75" customHeight="1">
      <c r="C501" s="25"/>
      <c r="D501" s="25"/>
      <c r="E501" s="25"/>
      <c r="F501" s="25"/>
      <c r="K501" s="25"/>
    </row>
    <row r="502" ht="15.75" customHeight="1">
      <c r="C502" s="25"/>
      <c r="D502" s="25"/>
      <c r="E502" s="25"/>
      <c r="F502" s="25"/>
      <c r="K502" s="25"/>
    </row>
    <row r="503" ht="15.75" customHeight="1">
      <c r="C503" s="25"/>
      <c r="D503" s="25"/>
      <c r="E503" s="25"/>
      <c r="F503" s="25"/>
      <c r="K503" s="25"/>
    </row>
    <row r="504" ht="15.75" customHeight="1">
      <c r="C504" s="25"/>
      <c r="D504" s="25"/>
      <c r="E504" s="25"/>
      <c r="F504" s="25"/>
      <c r="K504" s="25"/>
    </row>
    <row r="505" ht="15.75" customHeight="1">
      <c r="C505" s="25"/>
      <c r="D505" s="25"/>
      <c r="E505" s="25"/>
      <c r="F505" s="25"/>
      <c r="K505" s="25"/>
    </row>
    <row r="506" ht="15.75" customHeight="1">
      <c r="C506" s="25"/>
      <c r="D506" s="25"/>
      <c r="E506" s="25"/>
      <c r="F506" s="25"/>
      <c r="K506" s="25"/>
    </row>
    <row r="507" ht="15.75" customHeight="1">
      <c r="C507" s="25"/>
      <c r="D507" s="25"/>
      <c r="E507" s="25"/>
      <c r="F507" s="25"/>
      <c r="K507" s="25"/>
    </row>
    <row r="508" ht="15.75" customHeight="1">
      <c r="C508" s="25"/>
      <c r="D508" s="25"/>
      <c r="E508" s="25"/>
      <c r="F508" s="25"/>
      <c r="K508" s="25"/>
    </row>
    <row r="509" ht="15.75" customHeight="1">
      <c r="C509" s="25"/>
      <c r="D509" s="25"/>
      <c r="E509" s="25"/>
      <c r="F509" s="25"/>
      <c r="K509" s="25"/>
    </row>
    <row r="510" ht="15.75" customHeight="1">
      <c r="C510" s="25"/>
      <c r="D510" s="25"/>
      <c r="E510" s="25"/>
      <c r="F510" s="25"/>
      <c r="K510" s="25"/>
    </row>
    <row r="511" ht="15.75" customHeight="1">
      <c r="C511" s="25"/>
      <c r="D511" s="25"/>
      <c r="E511" s="25"/>
      <c r="F511" s="25"/>
      <c r="K511" s="25"/>
    </row>
    <row r="512" ht="15.75" customHeight="1">
      <c r="C512" s="25"/>
      <c r="D512" s="25"/>
      <c r="E512" s="25"/>
      <c r="F512" s="25"/>
      <c r="K512" s="25"/>
    </row>
    <row r="513" ht="15.75" customHeight="1">
      <c r="C513" s="25"/>
      <c r="D513" s="25"/>
      <c r="E513" s="25"/>
      <c r="F513" s="25"/>
      <c r="K513" s="25"/>
    </row>
    <row r="514" ht="15.75" customHeight="1">
      <c r="C514" s="25"/>
      <c r="D514" s="25"/>
      <c r="E514" s="25"/>
      <c r="F514" s="25"/>
      <c r="K514" s="25"/>
    </row>
    <row r="515" ht="15.75" customHeight="1">
      <c r="C515" s="25"/>
      <c r="D515" s="25"/>
      <c r="E515" s="25"/>
      <c r="F515" s="25"/>
      <c r="K515" s="25"/>
    </row>
    <row r="516" ht="15.75" customHeight="1">
      <c r="C516" s="25"/>
      <c r="D516" s="25"/>
      <c r="E516" s="25"/>
      <c r="F516" s="25"/>
      <c r="K516" s="25"/>
    </row>
    <row r="517" ht="15.75" customHeight="1">
      <c r="C517" s="25"/>
      <c r="D517" s="25"/>
      <c r="E517" s="25"/>
      <c r="F517" s="25"/>
      <c r="K517" s="25"/>
    </row>
    <row r="518" ht="15.75" customHeight="1">
      <c r="C518" s="25"/>
      <c r="D518" s="25"/>
      <c r="E518" s="25"/>
      <c r="F518" s="25"/>
      <c r="K518" s="25"/>
    </row>
    <row r="519" ht="15.75" customHeight="1">
      <c r="C519" s="25"/>
      <c r="D519" s="25"/>
      <c r="E519" s="25"/>
      <c r="F519" s="25"/>
      <c r="K519" s="25"/>
    </row>
    <row r="520" ht="15.75" customHeight="1">
      <c r="C520" s="25"/>
      <c r="D520" s="25"/>
      <c r="E520" s="25"/>
      <c r="F520" s="25"/>
      <c r="K520" s="25"/>
    </row>
    <row r="521" ht="15.75" customHeight="1">
      <c r="C521" s="25"/>
      <c r="D521" s="25"/>
      <c r="E521" s="25"/>
      <c r="F521" s="25"/>
      <c r="K521" s="25"/>
    </row>
    <row r="522" ht="15.75" customHeight="1">
      <c r="C522" s="25"/>
      <c r="D522" s="25"/>
      <c r="E522" s="25"/>
      <c r="F522" s="25"/>
      <c r="K522" s="25"/>
    </row>
    <row r="523" ht="15.75" customHeight="1">
      <c r="C523" s="25"/>
      <c r="D523" s="25"/>
      <c r="E523" s="25"/>
      <c r="F523" s="25"/>
      <c r="K523" s="25"/>
    </row>
    <row r="524" ht="15.75" customHeight="1">
      <c r="C524" s="25"/>
      <c r="D524" s="25"/>
      <c r="E524" s="25"/>
      <c r="F524" s="25"/>
      <c r="K524" s="25"/>
    </row>
    <row r="525" ht="15.75" customHeight="1">
      <c r="C525" s="25"/>
      <c r="D525" s="25"/>
      <c r="E525" s="25"/>
      <c r="F525" s="25"/>
      <c r="K525" s="25"/>
    </row>
    <row r="526" ht="15.75" customHeight="1">
      <c r="C526" s="25"/>
      <c r="D526" s="25"/>
      <c r="E526" s="25"/>
      <c r="F526" s="25"/>
      <c r="K526" s="25"/>
    </row>
    <row r="527" ht="15.75" customHeight="1">
      <c r="C527" s="25"/>
      <c r="D527" s="25"/>
      <c r="E527" s="25"/>
      <c r="F527" s="25"/>
      <c r="K527" s="25"/>
    </row>
    <row r="528" ht="15.75" customHeight="1">
      <c r="C528" s="25"/>
      <c r="D528" s="25"/>
      <c r="E528" s="25"/>
      <c r="F528" s="25"/>
      <c r="K528" s="25"/>
    </row>
    <row r="529" ht="15.75" customHeight="1">
      <c r="C529" s="25"/>
      <c r="D529" s="25"/>
      <c r="E529" s="25"/>
      <c r="F529" s="25"/>
      <c r="K529" s="25"/>
    </row>
    <row r="530" ht="15.75" customHeight="1">
      <c r="C530" s="25"/>
      <c r="D530" s="25"/>
      <c r="E530" s="25"/>
      <c r="F530" s="25"/>
      <c r="K530" s="25"/>
    </row>
    <row r="531" ht="15.75" customHeight="1">
      <c r="C531" s="25"/>
      <c r="D531" s="25"/>
      <c r="E531" s="25"/>
      <c r="F531" s="25"/>
      <c r="K531" s="25"/>
    </row>
    <row r="532" ht="15.75" customHeight="1">
      <c r="C532" s="25"/>
      <c r="D532" s="25"/>
      <c r="E532" s="25"/>
      <c r="F532" s="25"/>
      <c r="K532" s="25"/>
    </row>
    <row r="533" ht="15.75" customHeight="1">
      <c r="C533" s="25"/>
      <c r="D533" s="25"/>
      <c r="E533" s="25"/>
      <c r="F533" s="25"/>
      <c r="K533" s="25"/>
    </row>
    <row r="534" ht="15.75" customHeight="1">
      <c r="C534" s="25"/>
      <c r="D534" s="25"/>
      <c r="E534" s="25"/>
      <c r="F534" s="25"/>
      <c r="K534" s="25"/>
    </row>
    <row r="535" ht="15.75" customHeight="1">
      <c r="C535" s="25"/>
      <c r="D535" s="25"/>
      <c r="E535" s="25"/>
      <c r="F535" s="25"/>
      <c r="K535" s="25"/>
    </row>
    <row r="536" ht="15.75" customHeight="1">
      <c r="C536" s="25"/>
      <c r="D536" s="25"/>
      <c r="E536" s="25"/>
      <c r="F536" s="25"/>
      <c r="K536" s="25"/>
    </row>
    <row r="537" ht="15.75" customHeight="1">
      <c r="C537" s="25"/>
      <c r="D537" s="25"/>
      <c r="E537" s="25"/>
      <c r="F537" s="25"/>
      <c r="K537" s="25"/>
    </row>
    <row r="538" ht="15.75" customHeight="1">
      <c r="C538" s="25"/>
      <c r="D538" s="25"/>
      <c r="E538" s="25"/>
      <c r="F538" s="25"/>
      <c r="K538" s="25"/>
    </row>
    <row r="539" ht="15.75" customHeight="1">
      <c r="C539" s="25"/>
      <c r="D539" s="25"/>
      <c r="E539" s="25"/>
      <c r="F539" s="25"/>
      <c r="K539" s="25"/>
    </row>
    <row r="540" ht="15.75" customHeight="1">
      <c r="C540" s="25"/>
      <c r="D540" s="25"/>
      <c r="E540" s="25"/>
      <c r="F540" s="25"/>
      <c r="K540" s="25"/>
    </row>
    <row r="541" ht="15.75" customHeight="1">
      <c r="C541" s="25"/>
      <c r="D541" s="25"/>
      <c r="E541" s="25"/>
      <c r="F541" s="25"/>
      <c r="K541" s="25"/>
    </row>
    <row r="542" ht="15.75" customHeight="1">
      <c r="C542" s="25"/>
      <c r="D542" s="25"/>
      <c r="E542" s="25"/>
      <c r="F542" s="25"/>
      <c r="K542" s="25"/>
    </row>
    <row r="543" ht="15.75" customHeight="1">
      <c r="C543" s="25"/>
      <c r="D543" s="25"/>
      <c r="E543" s="25"/>
      <c r="F543" s="25"/>
      <c r="K543" s="25"/>
    </row>
    <row r="544" ht="15.75" customHeight="1">
      <c r="C544" s="25"/>
      <c r="D544" s="25"/>
      <c r="E544" s="25"/>
      <c r="F544" s="25"/>
      <c r="K544" s="25"/>
    </row>
    <row r="545" ht="15.75" customHeight="1">
      <c r="C545" s="25"/>
      <c r="D545" s="25"/>
      <c r="E545" s="25"/>
      <c r="F545" s="25"/>
      <c r="K545" s="25"/>
    </row>
    <row r="546" ht="15.75" customHeight="1">
      <c r="C546" s="25"/>
      <c r="D546" s="25"/>
      <c r="E546" s="25"/>
      <c r="F546" s="25"/>
      <c r="K546" s="25"/>
    </row>
    <row r="547" ht="15.75" customHeight="1">
      <c r="C547" s="25"/>
      <c r="D547" s="25"/>
      <c r="E547" s="25"/>
      <c r="F547" s="25"/>
      <c r="K547" s="25"/>
    </row>
    <row r="548" ht="15.75" customHeight="1">
      <c r="C548" s="25"/>
      <c r="D548" s="25"/>
      <c r="E548" s="25"/>
      <c r="F548" s="25"/>
      <c r="K548" s="25"/>
    </row>
    <row r="549" ht="15.75" customHeight="1">
      <c r="C549" s="25"/>
      <c r="D549" s="25"/>
      <c r="E549" s="25"/>
      <c r="F549" s="25"/>
      <c r="K549" s="25"/>
    </row>
    <row r="550" ht="15.75" customHeight="1">
      <c r="C550" s="25"/>
      <c r="D550" s="25"/>
      <c r="E550" s="25"/>
      <c r="F550" s="25"/>
      <c r="K550" s="25"/>
    </row>
    <row r="551" ht="15.75" customHeight="1">
      <c r="C551" s="25"/>
      <c r="D551" s="25"/>
      <c r="E551" s="25"/>
      <c r="F551" s="25"/>
      <c r="K551" s="25"/>
    </row>
    <row r="552" ht="15.75" customHeight="1">
      <c r="C552" s="25"/>
      <c r="D552" s="25"/>
      <c r="E552" s="25"/>
      <c r="F552" s="25"/>
      <c r="K552" s="25"/>
    </row>
    <row r="553" ht="15.75" customHeight="1">
      <c r="C553" s="25"/>
      <c r="D553" s="25"/>
      <c r="E553" s="25"/>
      <c r="F553" s="25"/>
      <c r="K553" s="25"/>
    </row>
    <row r="554" ht="15.75" customHeight="1">
      <c r="C554" s="25"/>
      <c r="D554" s="25"/>
      <c r="E554" s="25"/>
      <c r="F554" s="25"/>
      <c r="K554" s="25"/>
    </row>
    <row r="555" ht="15.75" customHeight="1">
      <c r="C555" s="25"/>
      <c r="D555" s="25"/>
      <c r="E555" s="25"/>
      <c r="F555" s="25"/>
      <c r="K555" s="25"/>
    </row>
    <row r="556" ht="15.75" customHeight="1">
      <c r="C556" s="25"/>
      <c r="D556" s="25"/>
      <c r="E556" s="25"/>
      <c r="F556" s="25"/>
      <c r="K556" s="25"/>
    </row>
    <row r="557" ht="15.75" customHeight="1">
      <c r="C557" s="25"/>
      <c r="D557" s="25"/>
      <c r="E557" s="25"/>
      <c r="F557" s="25"/>
      <c r="K557" s="25"/>
    </row>
    <row r="558" ht="15.75" customHeight="1">
      <c r="C558" s="25"/>
      <c r="D558" s="25"/>
      <c r="E558" s="25"/>
      <c r="F558" s="25"/>
      <c r="K558" s="25"/>
    </row>
    <row r="559" ht="15.75" customHeight="1">
      <c r="C559" s="25"/>
      <c r="D559" s="25"/>
      <c r="E559" s="25"/>
      <c r="F559" s="25"/>
      <c r="K559" s="25"/>
    </row>
    <row r="560" ht="15.75" customHeight="1">
      <c r="C560" s="25"/>
      <c r="D560" s="25"/>
      <c r="E560" s="25"/>
      <c r="F560" s="25"/>
      <c r="K560" s="25"/>
    </row>
    <row r="561" ht="15.75" customHeight="1">
      <c r="C561" s="25"/>
      <c r="D561" s="25"/>
      <c r="E561" s="25"/>
      <c r="F561" s="25"/>
      <c r="K561" s="25"/>
    </row>
    <row r="562" ht="15.75" customHeight="1">
      <c r="C562" s="25"/>
      <c r="D562" s="25"/>
      <c r="E562" s="25"/>
      <c r="F562" s="25"/>
      <c r="K562" s="25"/>
    </row>
    <row r="563" ht="15.75" customHeight="1">
      <c r="C563" s="25"/>
      <c r="D563" s="25"/>
      <c r="E563" s="25"/>
      <c r="F563" s="25"/>
      <c r="K563" s="25"/>
    </row>
    <row r="564" ht="15.75" customHeight="1">
      <c r="C564" s="25"/>
      <c r="D564" s="25"/>
      <c r="E564" s="25"/>
      <c r="F564" s="25"/>
      <c r="K564" s="25"/>
    </row>
    <row r="565" ht="15.75" customHeight="1">
      <c r="C565" s="25"/>
      <c r="D565" s="25"/>
      <c r="E565" s="25"/>
      <c r="F565" s="25"/>
      <c r="K565" s="25"/>
    </row>
    <row r="566" ht="15.75" customHeight="1">
      <c r="C566" s="25"/>
      <c r="D566" s="25"/>
      <c r="E566" s="25"/>
      <c r="F566" s="25"/>
      <c r="K566" s="25"/>
    </row>
    <row r="567" ht="15.75" customHeight="1">
      <c r="C567" s="25"/>
      <c r="D567" s="25"/>
      <c r="E567" s="25"/>
      <c r="F567" s="25"/>
      <c r="K567" s="25"/>
    </row>
    <row r="568" ht="15.75" customHeight="1">
      <c r="C568" s="25"/>
      <c r="D568" s="25"/>
      <c r="E568" s="25"/>
      <c r="F568" s="25"/>
      <c r="K568" s="25"/>
    </row>
    <row r="569" ht="15.75" customHeight="1">
      <c r="C569" s="25"/>
      <c r="D569" s="25"/>
      <c r="E569" s="25"/>
      <c r="F569" s="25"/>
      <c r="K569" s="25"/>
    </row>
    <row r="570" ht="15.75" customHeight="1">
      <c r="C570" s="25"/>
      <c r="D570" s="25"/>
      <c r="E570" s="25"/>
      <c r="F570" s="25"/>
      <c r="K570" s="25"/>
    </row>
    <row r="571" ht="15.75" customHeight="1">
      <c r="C571" s="25"/>
      <c r="D571" s="25"/>
      <c r="E571" s="25"/>
      <c r="F571" s="25"/>
      <c r="K571" s="25"/>
    </row>
    <row r="572" ht="15.75" customHeight="1">
      <c r="C572" s="25"/>
      <c r="D572" s="25"/>
      <c r="E572" s="25"/>
      <c r="F572" s="25"/>
      <c r="K572" s="25"/>
    </row>
    <row r="573" ht="15.75" customHeight="1">
      <c r="C573" s="25"/>
      <c r="D573" s="25"/>
      <c r="E573" s="25"/>
      <c r="F573" s="25"/>
      <c r="K573" s="25"/>
    </row>
    <row r="574" ht="15.75" customHeight="1">
      <c r="C574" s="25"/>
      <c r="D574" s="25"/>
      <c r="E574" s="25"/>
      <c r="F574" s="25"/>
      <c r="K574" s="25"/>
    </row>
    <row r="575" ht="15.75" customHeight="1">
      <c r="C575" s="25"/>
      <c r="D575" s="25"/>
      <c r="E575" s="25"/>
      <c r="F575" s="25"/>
      <c r="K575" s="25"/>
    </row>
    <row r="576" ht="15.75" customHeight="1">
      <c r="C576" s="25"/>
      <c r="D576" s="25"/>
      <c r="E576" s="25"/>
      <c r="F576" s="25"/>
      <c r="K576" s="25"/>
    </row>
    <row r="577" ht="15.75" customHeight="1">
      <c r="C577" s="25"/>
      <c r="D577" s="25"/>
      <c r="E577" s="25"/>
      <c r="F577" s="25"/>
      <c r="K577" s="25"/>
    </row>
    <row r="578" ht="15.75" customHeight="1">
      <c r="C578" s="25"/>
      <c r="D578" s="25"/>
      <c r="E578" s="25"/>
      <c r="F578" s="25"/>
      <c r="K578" s="25"/>
    </row>
    <row r="579" ht="15.75" customHeight="1">
      <c r="C579" s="25"/>
      <c r="D579" s="25"/>
      <c r="E579" s="25"/>
      <c r="F579" s="25"/>
      <c r="K579" s="25"/>
    </row>
    <row r="580" ht="15.75" customHeight="1">
      <c r="C580" s="25"/>
      <c r="D580" s="25"/>
      <c r="E580" s="25"/>
      <c r="F580" s="25"/>
      <c r="K580" s="25"/>
    </row>
    <row r="581" ht="15.75" customHeight="1">
      <c r="C581" s="25"/>
      <c r="D581" s="25"/>
      <c r="E581" s="25"/>
      <c r="F581" s="25"/>
      <c r="K581" s="25"/>
    </row>
    <row r="582" ht="15.75" customHeight="1">
      <c r="C582" s="25"/>
      <c r="D582" s="25"/>
      <c r="E582" s="25"/>
      <c r="F582" s="25"/>
      <c r="K582" s="25"/>
    </row>
    <row r="583" ht="15.75" customHeight="1">
      <c r="C583" s="25"/>
      <c r="D583" s="25"/>
      <c r="E583" s="25"/>
      <c r="F583" s="25"/>
      <c r="K583" s="25"/>
    </row>
    <row r="584" ht="15.75" customHeight="1">
      <c r="C584" s="25"/>
      <c r="D584" s="25"/>
      <c r="E584" s="25"/>
      <c r="F584" s="25"/>
      <c r="K584" s="25"/>
    </row>
    <row r="585" ht="15.75" customHeight="1">
      <c r="C585" s="25"/>
      <c r="D585" s="25"/>
      <c r="E585" s="25"/>
      <c r="F585" s="25"/>
      <c r="K585" s="25"/>
    </row>
    <row r="586" ht="15.75" customHeight="1">
      <c r="C586" s="25"/>
      <c r="D586" s="25"/>
      <c r="E586" s="25"/>
      <c r="F586" s="25"/>
      <c r="K586" s="25"/>
    </row>
    <row r="587" ht="15.75" customHeight="1">
      <c r="C587" s="25"/>
      <c r="D587" s="25"/>
      <c r="E587" s="25"/>
      <c r="F587" s="25"/>
      <c r="K587" s="25"/>
    </row>
    <row r="588" ht="15.75" customHeight="1">
      <c r="C588" s="25"/>
      <c r="D588" s="25"/>
      <c r="E588" s="25"/>
      <c r="F588" s="25"/>
      <c r="K588" s="25"/>
    </row>
    <row r="589" ht="15.75" customHeight="1">
      <c r="C589" s="25"/>
      <c r="D589" s="25"/>
      <c r="E589" s="25"/>
      <c r="F589" s="25"/>
      <c r="K589" s="25"/>
    </row>
    <row r="590" ht="15.75" customHeight="1">
      <c r="C590" s="25"/>
      <c r="D590" s="25"/>
      <c r="E590" s="25"/>
      <c r="F590" s="25"/>
      <c r="K590" s="25"/>
    </row>
    <row r="591" ht="15.75" customHeight="1">
      <c r="C591" s="25"/>
      <c r="D591" s="25"/>
      <c r="E591" s="25"/>
      <c r="F591" s="25"/>
      <c r="K591" s="25"/>
    </row>
    <row r="592" ht="15.75" customHeight="1">
      <c r="C592" s="25"/>
      <c r="D592" s="25"/>
      <c r="E592" s="25"/>
      <c r="F592" s="25"/>
      <c r="K592" s="25"/>
    </row>
    <row r="593" ht="15.75" customHeight="1">
      <c r="C593" s="25"/>
      <c r="D593" s="25"/>
      <c r="E593" s="25"/>
      <c r="F593" s="25"/>
      <c r="K593" s="25"/>
    </row>
    <row r="594" ht="15.75" customHeight="1">
      <c r="C594" s="25"/>
      <c r="D594" s="25"/>
      <c r="E594" s="25"/>
      <c r="F594" s="25"/>
      <c r="K594" s="25"/>
    </row>
    <row r="595" ht="15.75" customHeight="1">
      <c r="C595" s="25"/>
      <c r="D595" s="25"/>
      <c r="E595" s="25"/>
      <c r="F595" s="25"/>
      <c r="K595" s="25"/>
    </row>
    <row r="596" ht="15.75" customHeight="1">
      <c r="C596" s="25"/>
      <c r="D596" s="25"/>
      <c r="E596" s="25"/>
      <c r="F596" s="25"/>
      <c r="K596" s="25"/>
    </row>
    <row r="597" ht="15.75" customHeight="1">
      <c r="C597" s="25"/>
      <c r="D597" s="25"/>
      <c r="E597" s="25"/>
      <c r="F597" s="25"/>
      <c r="K597" s="25"/>
    </row>
    <row r="598" ht="15.75" customHeight="1">
      <c r="C598" s="25"/>
      <c r="D598" s="25"/>
      <c r="E598" s="25"/>
      <c r="F598" s="25"/>
      <c r="K598" s="25"/>
    </row>
    <row r="599" ht="15.75" customHeight="1">
      <c r="C599" s="25"/>
      <c r="D599" s="25"/>
      <c r="E599" s="25"/>
      <c r="F599" s="25"/>
      <c r="K599" s="25"/>
    </row>
    <row r="600" ht="15.75" customHeight="1">
      <c r="C600" s="25"/>
      <c r="D600" s="25"/>
      <c r="E600" s="25"/>
      <c r="F600" s="25"/>
      <c r="K600" s="25"/>
    </row>
    <row r="601" ht="15.75" customHeight="1">
      <c r="C601" s="25"/>
      <c r="D601" s="25"/>
      <c r="E601" s="25"/>
      <c r="F601" s="25"/>
      <c r="K601" s="25"/>
    </row>
    <row r="602" ht="15.75" customHeight="1">
      <c r="C602" s="25"/>
      <c r="D602" s="25"/>
      <c r="E602" s="25"/>
      <c r="F602" s="25"/>
      <c r="K602" s="25"/>
    </row>
    <row r="603" ht="15.75" customHeight="1">
      <c r="C603" s="25"/>
      <c r="D603" s="25"/>
      <c r="E603" s="25"/>
      <c r="F603" s="25"/>
      <c r="K603" s="25"/>
    </row>
    <row r="604" ht="15.75" customHeight="1">
      <c r="C604" s="25"/>
      <c r="D604" s="25"/>
      <c r="E604" s="25"/>
      <c r="F604" s="25"/>
      <c r="K604" s="25"/>
    </row>
    <row r="605" ht="15.75" customHeight="1">
      <c r="C605" s="25"/>
      <c r="D605" s="25"/>
      <c r="E605" s="25"/>
      <c r="F605" s="25"/>
      <c r="K605" s="25"/>
    </row>
    <row r="606" ht="15.75" customHeight="1">
      <c r="C606" s="25"/>
      <c r="D606" s="25"/>
      <c r="E606" s="25"/>
      <c r="F606" s="25"/>
      <c r="K606" s="25"/>
    </row>
    <row r="607" ht="15.75" customHeight="1">
      <c r="C607" s="25"/>
      <c r="D607" s="25"/>
      <c r="E607" s="25"/>
      <c r="F607" s="25"/>
      <c r="K607" s="25"/>
    </row>
    <row r="608" ht="15.75" customHeight="1">
      <c r="C608" s="25"/>
      <c r="D608" s="25"/>
      <c r="E608" s="25"/>
      <c r="F608" s="25"/>
      <c r="K608" s="25"/>
    </row>
    <row r="609" ht="15.75" customHeight="1">
      <c r="C609" s="25"/>
      <c r="D609" s="25"/>
      <c r="E609" s="25"/>
      <c r="F609" s="25"/>
      <c r="K609" s="25"/>
    </row>
    <row r="610" ht="15.75" customHeight="1">
      <c r="C610" s="25"/>
      <c r="D610" s="25"/>
      <c r="E610" s="25"/>
      <c r="F610" s="25"/>
      <c r="K610" s="25"/>
    </row>
    <row r="611" ht="15.75" customHeight="1">
      <c r="C611" s="25"/>
      <c r="D611" s="25"/>
      <c r="E611" s="25"/>
      <c r="F611" s="25"/>
      <c r="K611" s="25"/>
    </row>
    <row r="612" ht="15.75" customHeight="1">
      <c r="C612" s="25"/>
      <c r="D612" s="25"/>
      <c r="E612" s="25"/>
      <c r="F612" s="25"/>
      <c r="K612" s="25"/>
    </row>
    <row r="613" ht="15.75" customHeight="1">
      <c r="C613" s="25"/>
      <c r="D613" s="25"/>
      <c r="E613" s="25"/>
      <c r="F613" s="25"/>
      <c r="K613" s="25"/>
    </row>
    <row r="614" ht="15.75" customHeight="1">
      <c r="C614" s="25"/>
      <c r="D614" s="25"/>
      <c r="E614" s="25"/>
      <c r="F614" s="25"/>
      <c r="K614" s="25"/>
    </row>
    <row r="615" ht="15.75" customHeight="1">
      <c r="C615" s="25"/>
      <c r="D615" s="25"/>
      <c r="E615" s="25"/>
      <c r="F615" s="25"/>
      <c r="K615" s="25"/>
    </row>
    <row r="616" ht="15.75" customHeight="1">
      <c r="C616" s="25"/>
      <c r="D616" s="25"/>
      <c r="E616" s="25"/>
      <c r="F616" s="25"/>
      <c r="K616" s="25"/>
    </row>
    <row r="617" ht="15.75" customHeight="1">
      <c r="C617" s="25"/>
      <c r="D617" s="25"/>
      <c r="E617" s="25"/>
      <c r="F617" s="25"/>
      <c r="K617" s="25"/>
    </row>
    <row r="618" ht="15.75" customHeight="1">
      <c r="C618" s="25"/>
      <c r="D618" s="25"/>
      <c r="E618" s="25"/>
      <c r="F618" s="25"/>
      <c r="K618" s="25"/>
    </row>
    <row r="619" ht="15.75" customHeight="1">
      <c r="C619" s="25"/>
      <c r="D619" s="25"/>
      <c r="E619" s="25"/>
      <c r="F619" s="25"/>
      <c r="K619" s="25"/>
    </row>
    <row r="620" ht="15.75" customHeight="1">
      <c r="C620" s="25"/>
      <c r="D620" s="25"/>
      <c r="E620" s="25"/>
      <c r="F620" s="25"/>
      <c r="K620" s="25"/>
    </row>
    <row r="621" ht="15.75" customHeight="1">
      <c r="C621" s="25"/>
      <c r="D621" s="25"/>
      <c r="E621" s="25"/>
      <c r="F621" s="25"/>
      <c r="K621" s="25"/>
    </row>
    <row r="622" ht="15.75" customHeight="1">
      <c r="C622" s="25"/>
      <c r="D622" s="25"/>
      <c r="E622" s="25"/>
      <c r="F622" s="25"/>
      <c r="K622" s="25"/>
    </row>
    <row r="623" ht="15.75" customHeight="1">
      <c r="C623" s="25"/>
      <c r="D623" s="25"/>
      <c r="E623" s="25"/>
      <c r="F623" s="25"/>
      <c r="K623" s="25"/>
    </row>
    <row r="624" ht="15.75" customHeight="1">
      <c r="C624" s="25"/>
      <c r="D624" s="25"/>
      <c r="E624" s="25"/>
      <c r="F624" s="25"/>
      <c r="K624" s="25"/>
    </row>
    <row r="625" ht="15.75" customHeight="1">
      <c r="C625" s="25"/>
      <c r="D625" s="25"/>
      <c r="E625" s="25"/>
      <c r="F625" s="25"/>
      <c r="K625" s="25"/>
    </row>
    <row r="626" ht="15.75" customHeight="1">
      <c r="C626" s="25"/>
      <c r="D626" s="25"/>
      <c r="E626" s="25"/>
      <c r="F626" s="25"/>
      <c r="K626" s="25"/>
    </row>
    <row r="627" ht="15.75" customHeight="1">
      <c r="C627" s="25"/>
      <c r="D627" s="25"/>
      <c r="E627" s="25"/>
      <c r="F627" s="25"/>
      <c r="K627" s="25"/>
    </row>
    <row r="628" ht="15.75" customHeight="1">
      <c r="C628" s="25"/>
      <c r="D628" s="25"/>
      <c r="E628" s="25"/>
      <c r="F628" s="25"/>
      <c r="K628" s="25"/>
    </row>
    <row r="629" ht="15.75" customHeight="1">
      <c r="C629" s="25"/>
      <c r="D629" s="25"/>
      <c r="E629" s="25"/>
      <c r="F629" s="25"/>
      <c r="K629" s="25"/>
    </row>
    <row r="630" ht="15.75" customHeight="1">
      <c r="C630" s="25"/>
      <c r="D630" s="25"/>
      <c r="E630" s="25"/>
      <c r="F630" s="25"/>
      <c r="K630" s="25"/>
    </row>
    <row r="631" ht="15.75" customHeight="1">
      <c r="C631" s="25"/>
      <c r="D631" s="25"/>
      <c r="E631" s="25"/>
      <c r="F631" s="25"/>
      <c r="K631" s="25"/>
    </row>
    <row r="632" ht="15.75" customHeight="1">
      <c r="C632" s="25"/>
      <c r="D632" s="25"/>
      <c r="E632" s="25"/>
      <c r="F632" s="25"/>
      <c r="K632" s="25"/>
    </row>
    <row r="633" ht="15.75" customHeight="1">
      <c r="C633" s="25"/>
      <c r="D633" s="25"/>
      <c r="E633" s="25"/>
      <c r="F633" s="25"/>
      <c r="K633" s="25"/>
    </row>
    <row r="634" ht="15.75" customHeight="1">
      <c r="C634" s="25"/>
      <c r="D634" s="25"/>
      <c r="E634" s="25"/>
      <c r="F634" s="25"/>
      <c r="K634" s="25"/>
    </row>
    <row r="635" ht="15.75" customHeight="1">
      <c r="C635" s="25"/>
      <c r="D635" s="25"/>
      <c r="E635" s="25"/>
      <c r="F635" s="25"/>
      <c r="K635" s="25"/>
    </row>
    <row r="636" ht="15.75" customHeight="1">
      <c r="C636" s="25"/>
      <c r="D636" s="25"/>
      <c r="E636" s="25"/>
      <c r="F636" s="25"/>
      <c r="K636" s="25"/>
    </row>
    <row r="637" ht="15.75" customHeight="1">
      <c r="C637" s="25"/>
      <c r="D637" s="25"/>
      <c r="E637" s="25"/>
      <c r="F637" s="25"/>
      <c r="K637" s="25"/>
    </row>
    <row r="638" ht="15.75" customHeight="1">
      <c r="C638" s="25"/>
      <c r="D638" s="25"/>
      <c r="E638" s="25"/>
      <c r="F638" s="25"/>
      <c r="K638" s="25"/>
    </row>
    <row r="639" ht="15.75" customHeight="1">
      <c r="C639" s="25"/>
      <c r="D639" s="25"/>
      <c r="E639" s="25"/>
      <c r="F639" s="25"/>
      <c r="K639" s="25"/>
    </row>
    <row r="640" ht="15.75" customHeight="1">
      <c r="C640" s="25"/>
      <c r="D640" s="25"/>
      <c r="E640" s="25"/>
      <c r="F640" s="25"/>
      <c r="K640" s="25"/>
    </row>
    <row r="641" ht="15.75" customHeight="1">
      <c r="C641" s="25"/>
      <c r="D641" s="25"/>
      <c r="E641" s="25"/>
      <c r="F641" s="25"/>
      <c r="K641" s="25"/>
    </row>
    <row r="642" ht="15.75" customHeight="1">
      <c r="C642" s="25"/>
      <c r="D642" s="25"/>
      <c r="E642" s="25"/>
      <c r="F642" s="25"/>
      <c r="K642" s="25"/>
    </row>
    <row r="643" ht="15.75" customHeight="1">
      <c r="C643" s="25"/>
      <c r="D643" s="25"/>
      <c r="E643" s="25"/>
      <c r="F643" s="25"/>
      <c r="K643" s="25"/>
    </row>
    <row r="644" ht="15.75" customHeight="1">
      <c r="C644" s="25"/>
      <c r="D644" s="25"/>
      <c r="E644" s="25"/>
      <c r="F644" s="25"/>
      <c r="K644" s="25"/>
    </row>
    <row r="645" ht="15.75" customHeight="1">
      <c r="C645" s="25"/>
      <c r="D645" s="25"/>
      <c r="E645" s="25"/>
      <c r="F645" s="25"/>
      <c r="K645" s="25"/>
    </row>
    <row r="646" ht="15.75" customHeight="1">
      <c r="C646" s="25"/>
      <c r="D646" s="25"/>
      <c r="E646" s="25"/>
      <c r="F646" s="25"/>
      <c r="K646" s="25"/>
    </row>
    <row r="647" ht="15.75" customHeight="1">
      <c r="C647" s="25"/>
      <c r="D647" s="25"/>
      <c r="E647" s="25"/>
      <c r="F647" s="25"/>
      <c r="K647" s="25"/>
    </row>
    <row r="648" ht="15.75" customHeight="1">
      <c r="C648" s="25"/>
      <c r="D648" s="25"/>
      <c r="E648" s="25"/>
      <c r="F648" s="25"/>
      <c r="K648" s="25"/>
    </row>
    <row r="649" ht="15.75" customHeight="1">
      <c r="C649" s="25"/>
      <c r="D649" s="25"/>
      <c r="E649" s="25"/>
      <c r="F649" s="25"/>
      <c r="K649" s="25"/>
    </row>
    <row r="650" ht="15.75" customHeight="1">
      <c r="C650" s="25"/>
      <c r="D650" s="25"/>
      <c r="E650" s="25"/>
      <c r="F650" s="25"/>
      <c r="K650" s="25"/>
    </row>
    <row r="651" ht="15.75" customHeight="1">
      <c r="C651" s="25"/>
      <c r="D651" s="25"/>
      <c r="E651" s="25"/>
      <c r="F651" s="25"/>
      <c r="K651" s="25"/>
    </row>
    <row r="652" ht="15.75" customHeight="1">
      <c r="C652" s="25"/>
      <c r="D652" s="25"/>
      <c r="E652" s="25"/>
      <c r="F652" s="25"/>
      <c r="K652" s="25"/>
    </row>
    <row r="653" ht="15.75" customHeight="1">
      <c r="C653" s="25"/>
      <c r="D653" s="25"/>
      <c r="E653" s="25"/>
      <c r="F653" s="25"/>
      <c r="K653" s="25"/>
    </row>
    <row r="654" ht="15.75" customHeight="1">
      <c r="C654" s="25"/>
      <c r="D654" s="25"/>
      <c r="E654" s="25"/>
      <c r="F654" s="25"/>
      <c r="K654" s="25"/>
    </row>
    <row r="655" ht="15.75" customHeight="1">
      <c r="C655" s="25"/>
      <c r="D655" s="25"/>
      <c r="E655" s="25"/>
      <c r="F655" s="25"/>
      <c r="K655" s="25"/>
    </row>
    <row r="656" ht="15.75" customHeight="1">
      <c r="C656" s="25"/>
      <c r="D656" s="25"/>
      <c r="E656" s="25"/>
      <c r="F656" s="25"/>
      <c r="K656" s="25"/>
    </row>
    <row r="657" ht="15.75" customHeight="1">
      <c r="C657" s="25"/>
      <c r="D657" s="25"/>
      <c r="E657" s="25"/>
      <c r="F657" s="25"/>
      <c r="K657" s="25"/>
    </row>
    <row r="658" ht="15.75" customHeight="1">
      <c r="C658" s="25"/>
      <c r="D658" s="25"/>
      <c r="E658" s="25"/>
      <c r="F658" s="25"/>
      <c r="K658" s="25"/>
    </row>
    <row r="659" ht="15.75" customHeight="1">
      <c r="C659" s="25"/>
      <c r="D659" s="25"/>
      <c r="E659" s="25"/>
      <c r="F659" s="25"/>
      <c r="K659" s="25"/>
    </row>
    <row r="660" ht="15.75" customHeight="1">
      <c r="C660" s="25"/>
      <c r="D660" s="25"/>
      <c r="E660" s="25"/>
      <c r="F660" s="25"/>
      <c r="K660" s="25"/>
    </row>
    <row r="661" ht="15.75" customHeight="1">
      <c r="C661" s="25"/>
      <c r="D661" s="25"/>
      <c r="E661" s="25"/>
      <c r="F661" s="25"/>
      <c r="K661" s="25"/>
    </row>
    <row r="662" ht="15.75" customHeight="1">
      <c r="C662" s="25"/>
      <c r="D662" s="25"/>
      <c r="E662" s="25"/>
      <c r="F662" s="25"/>
      <c r="K662" s="25"/>
    </row>
    <row r="663" ht="15.75" customHeight="1">
      <c r="C663" s="25"/>
      <c r="D663" s="25"/>
      <c r="E663" s="25"/>
      <c r="F663" s="25"/>
      <c r="K663" s="25"/>
    </row>
    <row r="664" ht="15.75" customHeight="1">
      <c r="C664" s="25"/>
      <c r="D664" s="25"/>
      <c r="E664" s="25"/>
      <c r="F664" s="25"/>
      <c r="K664" s="25"/>
    </row>
    <row r="665" ht="15.75" customHeight="1">
      <c r="C665" s="25"/>
      <c r="D665" s="25"/>
      <c r="E665" s="25"/>
      <c r="F665" s="25"/>
      <c r="K665" s="25"/>
    </row>
    <row r="666" ht="15.75" customHeight="1">
      <c r="C666" s="25"/>
      <c r="D666" s="25"/>
      <c r="E666" s="25"/>
      <c r="F666" s="25"/>
      <c r="K666" s="25"/>
    </row>
    <row r="667" ht="15.75" customHeight="1">
      <c r="C667" s="25"/>
      <c r="D667" s="25"/>
      <c r="E667" s="25"/>
      <c r="F667" s="25"/>
      <c r="K667" s="25"/>
    </row>
    <row r="668" ht="15.75" customHeight="1">
      <c r="C668" s="25"/>
      <c r="D668" s="25"/>
      <c r="E668" s="25"/>
      <c r="F668" s="25"/>
      <c r="K668" s="25"/>
    </row>
    <row r="669" ht="15.75" customHeight="1">
      <c r="C669" s="25"/>
      <c r="D669" s="25"/>
      <c r="E669" s="25"/>
      <c r="F669" s="25"/>
      <c r="K669" s="25"/>
    </row>
    <row r="670" ht="15.75" customHeight="1">
      <c r="C670" s="25"/>
      <c r="D670" s="25"/>
      <c r="E670" s="25"/>
      <c r="F670" s="25"/>
      <c r="K670" s="25"/>
    </row>
    <row r="671" ht="15.75" customHeight="1">
      <c r="C671" s="25"/>
      <c r="D671" s="25"/>
      <c r="E671" s="25"/>
      <c r="F671" s="25"/>
      <c r="K671" s="25"/>
    </row>
    <row r="672" ht="15.75" customHeight="1">
      <c r="C672" s="25"/>
      <c r="D672" s="25"/>
      <c r="E672" s="25"/>
      <c r="F672" s="25"/>
      <c r="K672" s="25"/>
    </row>
    <row r="673" ht="15.75" customHeight="1">
      <c r="C673" s="25"/>
      <c r="D673" s="25"/>
      <c r="E673" s="25"/>
      <c r="F673" s="25"/>
      <c r="K673" s="25"/>
    </row>
    <row r="674" ht="15.75" customHeight="1">
      <c r="C674" s="25"/>
      <c r="D674" s="25"/>
      <c r="E674" s="25"/>
      <c r="F674" s="25"/>
      <c r="K674" s="25"/>
    </row>
    <row r="675" ht="15.75" customHeight="1">
      <c r="C675" s="25"/>
      <c r="D675" s="25"/>
      <c r="E675" s="25"/>
      <c r="F675" s="25"/>
      <c r="K675" s="25"/>
    </row>
    <row r="676" ht="15.75" customHeight="1">
      <c r="C676" s="25"/>
      <c r="D676" s="25"/>
      <c r="E676" s="25"/>
      <c r="F676" s="25"/>
      <c r="K676" s="25"/>
    </row>
    <row r="677" ht="15.75" customHeight="1">
      <c r="C677" s="25"/>
      <c r="D677" s="25"/>
      <c r="E677" s="25"/>
      <c r="F677" s="25"/>
      <c r="K677" s="25"/>
    </row>
    <row r="678" ht="15.75" customHeight="1">
      <c r="C678" s="25"/>
      <c r="D678" s="25"/>
      <c r="E678" s="25"/>
      <c r="F678" s="25"/>
      <c r="K678" s="25"/>
    </row>
    <row r="679" ht="15.75" customHeight="1">
      <c r="C679" s="25"/>
      <c r="D679" s="25"/>
      <c r="E679" s="25"/>
      <c r="F679" s="25"/>
      <c r="K679" s="25"/>
    </row>
    <row r="680" ht="15.75" customHeight="1">
      <c r="C680" s="25"/>
      <c r="D680" s="25"/>
      <c r="E680" s="25"/>
      <c r="F680" s="25"/>
      <c r="K680" s="25"/>
    </row>
    <row r="681" ht="15.75" customHeight="1">
      <c r="C681" s="25"/>
      <c r="D681" s="25"/>
      <c r="E681" s="25"/>
      <c r="F681" s="25"/>
      <c r="K681" s="25"/>
    </row>
    <row r="682" ht="15.75" customHeight="1">
      <c r="C682" s="25"/>
      <c r="D682" s="25"/>
      <c r="E682" s="25"/>
      <c r="F682" s="25"/>
      <c r="K682" s="25"/>
    </row>
    <row r="683" ht="15.75" customHeight="1">
      <c r="C683" s="25"/>
      <c r="D683" s="25"/>
      <c r="E683" s="25"/>
      <c r="F683" s="25"/>
      <c r="K683" s="25"/>
    </row>
    <row r="684" ht="15.75" customHeight="1">
      <c r="C684" s="25"/>
      <c r="D684" s="25"/>
      <c r="E684" s="25"/>
      <c r="F684" s="25"/>
      <c r="K684" s="25"/>
    </row>
    <row r="685" ht="15.75" customHeight="1">
      <c r="C685" s="25"/>
      <c r="D685" s="25"/>
      <c r="E685" s="25"/>
      <c r="F685" s="25"/>
      <c r="K685" s="25"/>
    </row>
    <row r="686" ht="15.75" customHeight="1">
      <c r="C686" s="25"/>
      <c r="D686" s="25"/>
      <c r="E686" s="25"/>
      <c r="F686" s="25"/>
      <c r="K686" s="25"/>
    </row>
    <row r="687" ht="15.75" customHeight="1">
      <c r="C687" s="25"/>
      <c r="D687" s="25"/>
      <c r="E687" s="25"/>
      <c r="F687" s="25"/>
      <c r="K687" s="25"/>
    </row>
    <row r="688" ht="15.75" customHeight="1">
      <c r="C688" s="25"/>
      <c r="D688" s="25"/>
      <c r="E688" s="25"/>
      <c r="F688" s="25"/>
      <c r="K688" s="25"/>
    </row>
    <row r="689" ht="15.75" customHeight="1">
      <c r="C689" s="25"/>
      <c r="D689" s="25"/>
      <c r="E689" s="25"/>
      <c r="F689" s="25"/>
      <c r="K689" s="25"/>
    </row>
    <row r="690" ht="15.75" customHeight="1">
      <c r="C690" s="25"/>
      <c r="D690" s="25"/>
      <c r="E690" s="25"/>
      <c r="F690" s="25"/>
      <c r="K690" s="25"/>
    </row>
    <row r="691" ht="15.75" customHeight="1">
      <c r="C691" s="25"/>
      <c r="D691" s="25"/>
      <c r="E691" s="25"/>
      <c r="F691" s="25"/>
      <c r="K691" s="25"/>
    </row>
    <row r="692" ht="15.75" customHeight="1">
      <c r="C692" s="25"/>
      <c r="D692" s="25"/>
      <c r="E692" s="25"/>
      <c r="F692" s="25"/>
      <c r="K692" s="25"/>
    </row>
    <row r="693" ht="15.75" customHeight="1">
      <c r="C693" s="25"/>
      <c r="D693" s="25"/>
      <c r="E693" s="25"/>
      <c r="F693" s="25"/>
      <c r="K693" s="25"/>
    </row>
    <row r="694" ht="15.75" customHeight="1">
      <c r="C694" s="25"/>
      <c r="D694" s="25"/>
      <c r="E694" s="25"/>
      <c r="F694" s="25"/>
      <c r="K694" s="25"/>
    </row>
    <row r="695" ht="15.75" customHeight="1">
      <c r="C695" s="25"/>
      <c r="D695" s="25"/>
      <c r="E695" s="25"/>
      <c r="F695" s="25"/>
      <c r="K695" s="25"/>
    </row>
    <row r="696" ht="15.75" customHeight="1">
      <c r="C696" s="25"/>
      <c r="D696" s="25"/>
      <c r="E696" s="25"/>
      <c r="F696" s="25"/>
      <c r="K696" s="25"/>
    </row>
    <row r="697" ht="15.75" customHeight="1">
      <c r="C697" s="25"/>
      <c r="D697" s="25"/>
      <c r="E697" s="25"/>
      <c r="F697" s="25"/>
      <c r="K697" s="25"/>
    </row>
    <row r="698" ht="15.75" customHeight="1">
      <c r="C698" s="25"/>
      <c r="D698" s="25"/>
      <c r="E698" s="25"/>
      <c r="F698" s="25"/>
      <c r="K698" s="25"/>
    </row>
    <row r="699" ht="15.75" customHeight="1">
      <c r="C699" s="25"/>
      <c r="D699" s="25"/>
      <c r="E699" s="25"/>
      <c r="F699" s="25"/>
      <c r="K699" s="25"/>
    </row>
    <row r="700" ht="15.75" customHeight="1">
      <c r="C700" s="25"/>
      <c r="D700" s="25"/>
      <c r="E700" s="25"/>
      <c r="F700" s="25"/>
      <c r="K700" s="25"/>
    </row>
    <row r="701" ht="15.75" customHeight="1">
      <c r="C701" s="25"/>
      <c r="D701" s="25"/>
      <c r="E701" s="25"/>
      <c r="F701" s="25"/>
      <c r="K701" s="25"/>
    </row>
    <row r="702" ht="15.75" customHeight="1">
      <c r="C702" s="25"/>
      <c r="D702" s="25"/>
      <c r="E702" s="25"/>
      <c r="F702" s="25"/>
      <c r="K702" s="25"/>
    </row>
    <row r="703" ht="15.75" customHeight="1">
      <c r="C703" s="25"/>
      <c r="D703" s="25"/>
      <c r="E703" s="25"/>
      <c r="F703" s="25"/>
      <c r="K703" s="25"/>
    </row>
    <row r="704" ht="15.75" customHeight="1">
      <c r="C704" s="25"/>
      <c r="D704" s="25"/>
      <c r="E704" s="25"/>
      <c r="F704" s="25"/>
      <c r="K704" s="25"/>
    </row>
    <row r="705" ht="15.75" customHeight="1">
      <c r="C705" s="25"/>
      <c r="D705" s="25"/>
      <c r="E705" s="25"/>
      <c r="F705" s="25"/>
      <c r="K705" s="25"/>
    </row>
    <row r="706" ht="15.75" customHeight="1">
      <c r="C706" s="25"/>
      <c r="D706" s="25"/>
      <c r="E706" s="25"/>
      <c r="F706" s="25"/>
      <c r="K706" s="25"/>
    </row>
    <row r="707" ht="15.75" customHeight="1">
      <c r="C707" s="25"/>
      <c r="D707" s="25"/>
      <c r="E707" s="25"/>
      <c r="F707" s="25"/>
      <c r="K707" s="25"/>
    </row>
    <row r="708" ht="15.75" customHeight="1">
      <c r="C708" s="25"/>
      <c r="D708" s="25"/>
      <c r="E708" s="25"/>
      <c r="F708" s="25"/>
      <c r="K708" s="25"/>
    </row>
    <row r="709" ht="15.75" customHeight="1">
      <c r="C709" s="25"/>
      <c r="D709" s="25"/>
      <c r="E709" s="25"/>
      <c r="F709" s="25"/>
      <c r="K709" s="25"/>
    </row>
    <row r="710" ht="15.75" customHeight="1">
      <c r="C710" s="25"/>
      <c r="D710" s="25"/>
      <c r="E710" s="25"/>
      <c r="F710" s="25"/>
      <c r="K710" s="25"/>
    </row>
    <row r="711" ht="15.75" customHeight="1">
      <c r="C711" s="25"/>
      <c r="D711" s="25"/>
      <c r="E711" s="25"/>
      <c r="F711" s="25"/>
      <c r="K711" s="25"/>
    </row>
    <row r="712" ht="15.75" customHeight="1">
      <c r="C712" s="25"/>
      <c r="D712" s="25"/>
      <c r="E712" s="25"/>
      <c r="F712" s="25"/>
      <c r="K712" s="25"/>
    </row>
    <row r="713" ht="15.75" customHeight="1">
      <c r="C713" s="25"/>
      <c r="D713" s="25"/>
      <c r="E713" s="25"/>
      <c r="F713" s="25"/>
      <c r="K713" s="25"/>
    </row>
    <row r="714" ht="15.75" customHeight="1">
      <c r="C714" s="25"/>
      <c r="D714" s="25"/>
      <c r="E714" s="25"/>
      <c r="F714" s="25"/>
      <c r="K714" s="25"/>
    </row>
    <row r="715" ht="15.75" customHeight="1">
      <c r="C715" s="25"/>
      <c r="D715" s="25"/>
      <c r="E715" s="25"/>
      <c r="F715" s="25"/>
      <c r="K715" s="25"/>
    </row>
    <row r="716" ht="15.75" customHeight="1">
      <c r="C716" s="25"/>
      <c r="D716" s="25"/>
      <c r="E716" s="25"/>
      <c r="F716" s="25"/>
      <c r="K716" s="25"/>
    </row>
    <row r="717" ht="15.75" customHeight="1">
      <c r="C717" s="25"/>
      <c r="D717" s="25"/>
      <c r="E717" s="25"/>
      <c r="F717" s="25"/>
      <c r="K717" s="25"/>
    </row>
    <row r="718" ht="15.75" customHeight="1">
      <c r="C718" s="25"/>
      <c r="D718" s="25"/>
      <c r="E718" s="25"/>
      <c r="F718" s="25"/>
      <c r="K718" s="25"/>
    </row>
    <row r="719" ht="15.75" customHeight="1">
      <c r="C719" s="25"/>
      <c r="D719" s="25"/>
      <c r="E719" s="25"/>
      <c r="F719" s="25"/>
      <c r="K719" s="25"/>
    </row>
    <row r="720" ht="15.75" customHeight="1">
      <c r="C720" s="25"/>
      <c r="D720" s="25"/>
      <c r="E720" s="25"/>
      <c r="F720" s="25"/>
      <c r="K720" s="25"/>
    </row>
    <row r="721" ht="15.75" customHeight="1">
      <c r="C721" s="25"/>
      <c r="D721" s="25"/>
      <c r="E721" s="25"/>
      <c r="F721" s="25"/>
      <c r="K721" s="25"/>
    </row>
    <row r="722" ht="15.75" customHeight="1">
      <c r="C722" s="25"/>
      <c r="D722" s="25"/>
      <c r="E722" s="25"/>
      <c r="F722" s="25"/>
      <c r="K722" s="25"/>
    </row>
    <row r="723" ht="15.75" customHeight="1">
      <c r="C723" s="25"/>
      <c r="D723" s="25"/>
      <c r="E723" s="25"/>
      <c r="F723" s="25"/>
      <c r="K723" s="25"/>
    </row>
    <row r="724" ht="15.75" customHeight="1">
      <c r="C724" s="25"/>
      <c r="D724" s="25"/>
      <c r="E724" s="25"/>
      <c r="F724" s="25"/>
      <c r="K724" s="25"/>
    </row>
    <row r="725" ht="15.75" customHeight="1">
      <c r="C725" s="25"/>
      <c r="D725" s="25"/>
      <c r="E725" s="25"/>
      <c r="F725" s="25"/>
      <c r="K725" s="25"/>
    </row>
    <row r="726" ht="15.75" customHeight="1">
      <c r="C726" s="25"/>
      <c r="D726" s="25"/>
      <c r="E726" s="25"/>
      <c r="F726" s="25"/>
      <c r="K726" s="25"/>
    </row>
    <row r="727" ht="15.75" customHeight="1">
      <c r="C727" s="25"/>
      <c r="D727" s="25"/>
      <c r="E727" s="25"/>
      <c r="F727" s="25"/>
      <c r="K727" s="25"/>
    </row>
    <row r="728" ht="15.75" customHeight="1">
      <c r="C728" s="25"/>
      <c r="D728" s="25"/>
      <c r="E728" s="25"/>
      <c r="F728" s="25"/>
      <c r="K728" s="25"/>
    </row>
    <row r="729" ht="15.75" customHeight="1">
      <c r="C729" s="25"/>
      <c r="D729" s="25"/>
      <c r="E729" s="25"/>
      <c r="F729" s="25"/>
      <c r="K729" s="25"/>
    </row>
    <row r="730" ht="15.75" customHeight="1">
      <c r="C730" s="25"/>
      <c r="D730" s="25"/>
      <c r="E730" s="25"/>
      <c r="F730" s="25"/>
      <c r="K730" s="25"/>
    </row>
    <row r="731" ht="15.75" customHeight="1">
      <c r="C731" s="25"/>
      <c r="D731" s="25"/>
      <c r="E731" s="25"/>
      <c r="F731" s="25"/>
      <c r="K731" s="25"/>
    </row>
    <row r="732" ht="15.75" customHeight="1">
      <c r="C732" s="25"/>
      <c r="D732" s="25"/>
      <c r="E732" s="25"/>
      <c r="F732" s="25"/>
      <c r="K732" s="25"/>
    </row>
    <row r="733" ht="15.75" customHeight="1">
      <c r="C733" s="25"/>
      <c r="D733" s="25"/>
      <c r="E733" s="25"/>
      <c r="F733" s="25"/>
      <c r="K733" s="25"/>
    </row>
    <row r="734" ht="15.75" customHeight="1">
      <c r="C734" s="25"/>
      <c r="D734" s="25"/>
      <c r="E734" s="25"/>
      <c r="F734" s="25"/>
      <c r="K734" s="25"/>
    </row>
    <row r="735" ht="15.75" customHeight="1">
      <c r="C735" s="25"/>
      <c r="D735" s="25"/>
      <c r="E735" s="25"/>
      <c r="F735" s="25"/>
      <c r="K735" s="25"/>
    </row>
    <row r="736" ht="15.75" customHeight="1">
      <c r="C736" s="25"/>
      <c r="D736" s="25"/>
      <c r="E736" s="25"/>
      <c r="F736" s="25"/>
      <c r="K736" s="25"/>
    </row>
    <row r="737" ht="15.75" customHeight="1">
      <c r="C737" s="25"/>
      <c r="D737" s="25"/>
      <c r="E737" s="25"/>
      <c r="F737" s="25"/>
      <c r="K737" s="25"/>
    </row>
    <row r="738" ht="15.75" customHeight="1">
      <c r="C738" s="25"/>
      <c r="D738" s="25"/>
      <c r="E738" s="25"/>
      <c r="F738" s="25"/>
      <c r="K738" s="25"/>
    </row>
    <row r="739" ht="15.75" customHeight="1">
      <c r="C739" s="25"/>
      <c r="D739" s="25"/>
      <c r="E739" s="25"/>
      <c r="F739" s="25"/>
      <c r="K739" s="25"/>
    </row>
    <row r="740" ht="15.75" customHeight="1">
      <c r="C740" s="25"/>
      <c r="D740" s="25"/>
      <c r="E740" s="25"/>
      <c r="F740" s="25"/>
      <c r="K740" s="25"/>
    </row>
    <row r="741" ht="15.75" customHeight="1">
      <c r="C741" s="25"/>
      <c r="D741" s="25"/>
      <c r="E741" s="25"/>
      <c r="F741" s="25"/>
      <c r="K741" s="25"/>
    </row>
    <row r="742" ht="15.75" customHeight="1">
      <c r="C742" s="25"/>
      <c r="D742" s="25"/>
      <c r="E742" s="25"/>
      <c r="F742" s="25"/>
      <c r="K742" s="25"/>
    </row>
    <row r="743" ht="15.75" customHeight="1">
      <c r="C743" s="25"/>
      <c r="D743" s="25"/>
      <c r="E743" s="25"/>
      <c r="F743" s="25"/>
      <c r="K743" s="25"/>
    </row>
    <row r="744" ht="15.75" customHeight="1">
      <c r="C744" s="25"/>
      <c r="D744" s="25"/>
      <c r="E744" s="25"/>
      <c r="F744" s="25"/>
      <c r="K744" s="25"/>
    </row>
    <row r="745" ht="15.75" customHeight="1">
      <c r="C745" s="25"/>
      <c r="D745" s="25"/>
      <c r="E745" s="25"/>
      <c r="F745" s="25"/>
      <c r="K745" s="25"/>
    </row>
    <row r="746" ht="15.75" customHeight="1">
      <c r="C746" s="25"/>
      <c r="D746" s="25"/>
      <c r="E746" s="25"/>
      <c r="F746" s="25"/>
      <c r="K746" s="25"/>
    </row>
    <row r="747" ht="15.75" customHeight="1">
      <c r="C747" s="25"/>
      <c r="D747" s="25"/>
      <c r="E747" s="25"/>
      <c r="F747" s="25"/>
      <c r="K747" s="25"/>
    </row>
    <row r="748" ht="15.75" customHeight="1">
      <c r="C748" s="25"/>
      <c r="D748" s="25"/>
      <c r="E748" s="25"/>
      <c r="F748" s="25"/>
      <c r="K748" s="25"/>
    </row>
    <row r="749" ht="15.75" customHeight="1">
      <c r="C749" s="25"/>
      <c r="D749" s="25"/>
      <c r="E749" s="25"/>
      <c r="F749" s="25"/>
      <c r="K749" s="25"/>
    </row>
    <row r="750" ht="15.75" customHeight="1">
      <c r="C750" s="25"/>
      <c r="D750" s="25"/>
      <c r="E750" s="25"/>
      <c r="F750" s="25"/>
      <c r="K750" s="25"/>
    </row>
    <row r="751" ht="15.75" customHeight="1">
      <c r="C751" s="25"/>
      <c r="D751" s="25"/>
      <c r="E751" s="25"/>
      <c r="F751" s="25"/>
      <c r="K751" s="25"/>
    </row>
    <row r="752" ht="15.75" customHeight="1">
      <c r="C752" s="25"/>
      <c r="D752" s="25"/>
      <c r="E752" s="25"/>
      <c r="F752" s="25"/>
      <c r="K752" s="25"/>
    </row>
    <row r="753" ht="15.75" customHeight="1">
      <c r="C753" s="25"/>
      <c r="D753" s="25"/>
      <c r="E753" s="25"/>
      <c r="F753" s="25"/>
      <c r="K753" s="25"/>
    </row>
    <row r="754" ht="15.75" customHeight="1">
      <c r="C754" s="25"/>
      <c r="D754" s="25"/>
      <c r="E754" s="25"/>
      <c r="F754" s="25"/>
      <c r="K754" s="25"/>
    </row>
    <row r="755" ht="15.75" customHeight="1">
      <c r="C755" s="25"/>
      <c r="D755" s="25"/>
      <c r="E755" s="25"/>
      <c r="F755" s="25"/>
      <c r="K755" s="25"/>
    </row>
    <row r="756" ht="15.75" customHeight="1">
      <c r="C756" s="25"/>
      <c r="D756" s="25"/>
      <c r="E756" s="25"/>
      <c r="F756" s="25"/>
      <c r="K756" s="25"/>
    </row>
    <row r="757" ht="15.75" customHeight="1">
      <c r="C757" s="25"/>
      <c r="D757" s="25"/>
      <c r="E757" s="25"/>
      <c r="F757" s="25"/>
      <c r="K757" s="25"/>
    </row>
    <row r="758" ht="15.75" customHeight="1">
      <c r="C758" s="25"/>
      <c r="D758" s="25"/>
      <c r="E758" s="25"/>
      <c r="F758" s="25"/>
      <c r="K758" s="25"/>
    </row>
    <row r="759" ht="15.75" customHeight="1">
      <c r="C759" s="25"/>
      <c r="D759" s="25"/>
      <c r="E759" s="25"/>
      <c r="F759" s="25"/>
      <c r="K759" s="25"/>
    </row>
    <row r="760" ht="15.75" customHeight="1">
      <c r="C760" s="25"/>
      <c r="D760" s="25"/>
      <c r="E760" s="25"/>
      <c r="F760" s="25"/>
      <c r="K760" s="25"/>
    </row>
    <row r="761" ht="15.75" customHeight="1">
      <c r="C761" s="25"/>
      <c r="D761" s="25"/>
      <c r="E761" s="25"/>
      <c r="F761" s="25"/>
      <c r="K761" s="25"/>
    </row>
    <row r="762" ht="15.75" customHeight="1">
      <c r="C762" s="25"/>
      <c r="D762" s="25"/>
      <c r="E762" s="25"/>
      <c r="F762" s="25"/>
      <c r="K762" s="25"/>
    </row>
    <row r="763" ht="15.75" customHeight="1">
      <c r="C763" s="25"/>
      <c r="D763" s="25"/>
      <c r="E763" s="25"/>
      <c r="F763" s="25"/>
      <c r="K763" s="25"/>
    </row>
    <row r="764" ht="15.75" customHeight="1">
      <c r="C764" s="25"/>
      <c r="D764" s="25"/>
      <c r="E764" s="25"/>
      <c r="F764" s="25"/>
      <c r="K764" s="25"/>
    </row>
    <row r="765" ht="15.75" customHeight="1">
      <c r="C765" s="25"/>
      <c r="D765" s="25"/>
      <c r="E765" s="25"/>
      <c r="F765" s="25"/>
      <c r="K765" s="25"/>
    </row>
    <row r="766" ht="15.75" customHeight="1">
      <c r="C766" s="25"/>
      <c r="D766" s="25"/>
      <c r="E766" s="25"/>
      <c r="F766" s="25"/>
      <c r="K766" s="25"/>
    </row>
    <row r="767" ht="15.75" customHeight="1">
      <c r="C767" s="25"/>
      <c r="D767" s="25"/>
      <c r="E767" s="25"/>
      <c r="F767" s="25"/>
      <c r="K767" s="25"/>
    </row>
    <row r="768" ht="15.75" customHeight="1">
      <c r="C768" s="25"/>
      <c r="D768" s="25"/>
      <c r="E768" s="25"/>
      <c r="F768" s="25"/>
      <c r="K768" s="25"/>
    </row>
    <row r="769" ht="15.75" customHeight="1">
      <c r="C769" s="25"/>
      <c r="D769" s="25"/>
      <c r="E769" s="25"/>
      <c r="F769" s="25"/>
      <c r="K769" s="25"/>
    </row>
    <row r="770" ht="15.75" customHeight="1">
      <c r="C770" s="25"/>
      <c r="D770" s="25"/>
      <c r="E770" s="25"/>
      <c r="F770" s="25"/>
      <c r="K770" s="25"/>
    </row>
    <row r="771" ht="15.75" customHeight="1">
      <c r="C771" s="25"/>
      <c r="D771" s="25"/>
      <c r="E771" s="25"/>
      <c r="F771" s="25"/>
      <c r="K771" s="25"/>
    </row>
    <row r="772" ht="15.75" customHeight="1">
      <c r="C772" s="25"/>
      <c r="D772" s="25"/>
      <c r="E772" s="25"/>
      <c r="F772" s="25"/>
      <c r="K772" s="25"/>
    </row>
    <row r="773" ht="15.75" customHeight="1">
      <c r="C773" s="25"/>
      <c r="D773" s="25"/>
      <c r="E773" s="25"/>
      <c r="F773" s="25"/>
      <c r="K773" s="25"/>
    </row>
    <row r="774" ht="15.75" customHeight="1">
      <c r="C774" s="25"/>
      <c r="D774" s="25"/>
      <c r="E774" s="25"/>
      <c r="F774" s="25"/>
      <c r="K774" s="25"/>
    </row>
    <row r="775" ht="15.75" customHeight="1">
      <c r="C775" s="25"/>
      <c r="D775" s="25"/>
      <c r="E775" s="25"/>
      <c r="F775" s="25"/>
      <c r="K775" s="25"/>
    </row>
    <row r="776" ht="15.75" customHeight="1">
      <c r="C776" s="25"/>
      <c r="D776" s="25"/>
      <c r="E776" s="25"/>
      <c r="F776" s="25"/>
      <c r="K776" s="25"/>
    </row>
    <row r="777" ht="15.75" customHeight="1">
      <c r="C777" s="25"/>
      <c r="D777" s="25"/>
      <c r="E777" s="25"/>
      <c r="F777" s="25"/>
      <c r="K777" s="25"/>
    </row>
    <row r="778" ht="15.75" customHeight="1">
      <c r="C778" s="25"/>
      <c r="D778" s="25"/>
      <c r="E778" s="25"/>
      <c r="F778" s="25"/>
      <c r="K778" s="25"/>
    </row>
    <row r="779" ht="15.75" customHeight="1">
      <c r="C779" s="25"/>
      <c r="D779" s="25"/>
      <c r="E779" s="25"/>
      <c r="F779" s="25"/>
      <c r="K779" s="25"/>
    </row>
    <row r="780" ht="15.75" customHeight="1">
      <c r="C780" s="25"/>
      <c r="D780" s="25"/>
      <c r="E780" s="25"/>
      <c r="F780" s="25"/>
      <c r="K780" s="25"/>
    </row>
    <row r="781" ht="15.75" customHeight="1">
      <c r="C781" s="25"/>
      <c r="D781" s="25"/>
      <c r="E781" s="25"/>
      <c r="F781" s="25"/>
      <c r="K781" s="25"/>
    </row>
    <row r="782" ht="15.75" customHeight="1">
      <c r="C782" s="25"/>
      <c r="D782" s="25"/>
      <c r="E782" s="25"/>
      <c r="F782" s="25"/>
      <c r="K782" s="25"/>
    </row>
    <row r="783" ht="15.75" customHeight="1">
      <c r="C783" s="25"/>
      <c r="D783" s="25"/>
      <c r="E783" s="25"/>
      <c r="F783" s="25"/>
      <c r="K783" s="25"/>
    </row>
    <row r="784" ht="15.75" customHeight="1">
      <c r="C784" s="25"/>
      <c r="D784" s="25"/>
      <c r="E784" s="25"/>
      <c r="F784" s="25"/>
      <c r="K784" s="25"/>
    </row>
    <row r="785" ht="15.75" customHeight="1">
      <c r="C785" s="25"/>
      <c r="D785" s="25"/>
      <c r="E785" s="25"/>
      <c r="F785" s="25"/>
      <c r="K785" s="25"/>
    </row>
    <row r="786" ht="15.75" customHeight="1">
      <c r="C786" s="25"/>
      <c r="D786" s="25"/>
      <c r="E786" s="25"/>
      <c r="F786" s="25"/>
      <c r="K786" s="25"/>
    </row>
    <row r="787" ht="15.75" customHeight="1">
      <c r="C787" s="25"/>
      <c r="D787" s="25"/>
      <c r="E787" s="25"/>
      <c r="F787" s="25"/>
      <c r="K787" s="25"/>
    </row>
    <row r="788" ht="15.75" customHeight="1">
      <c r="C788" s="25"/>
      <c r="D788" s="25"/>
      <c r="E788" s="25"/>
      <c r="F788" s="25"/>
      <c r="K788" s="25"/>
    </row>
    <row r="789" ht="15.75" customHeight="1">
      <c r="C789" s="25"/>
      <c r="D789" s="25"/>
      <c r="E789" s="25"/>
      <c r="F789" s="25"/>
      <c r="K789" s="25"/>
    </row>
    <row r="790" ht="15.75" customHeight="1">
      <c r="C790" s="25"/>
      <c r="D790" s="25"/>
      <c r="E790" s="25"/>
      <c r="F790" s="25"/>
      <c r="K790" s="25"/>
    </row>
    <row r="791" ht="15.75" customHeight="1">
      <c r="C791" s="25"/>
      <c r="D791" s="25"/>
      <c r="E791" s="25"/>
      <c r="F791" s="25"/>
      <c r="K791" s="25"/>
    </row>
    <row r="792" ht="15.75" customHeight="1">
      <c r="C792" s="25"/>
      <c r="D792" s="25"/>
      <c r="E792" s="25"/>
      <c r="F792" s="25"/>
      <c r="K792" s="25"/>
    </row>
    <row r="793" ht="15.75" customHeight="1">
      <c r="C793" s="25"/>
      <c r="D793" s="25"/>
      <c r="E793" s="25"/>
      <c r="F793" s="25"/>
      <c r="K793" s="25"/>
    </row>
    <row r="794" ht="15.75" customHeight="1">
      <c r="C794" s="25"/>
      <c r="D794" s="25"/>
      <c r="E794" s="25"/>
      <c r="F794" s="25"/>
      <c r="K794" s="25"/>
    </row>
    <row r="795" ht="15.75" customHeight="1">
      <c r="C795" s="25"/>
      <c r="D795" s="25"/>
      <c r="E795" s="25"/>
      <c r="F795" s="25"/>
      <c r="K795" s="25"/>
    </row>
    <row r="796" ht="15.75" customHeight="1">
      <c r="C796" s="25"/>
      <c r="D796" s="25"/>
      <c r="E796" s="25"/>
      <c r="F796" s="25"/>
      <c r="K796" s="25"/>
    </row>
    <row r="797" ht="15.75" customHeight="1">
      <c r="C797" s="25"/>
      <c r="D797" s="25"/>
      <c r="E797" s="25"/>
      <c r="F797" s="25"/>
      <c r="K797" s="25"/>
    </row>
    <row r="798" ht="15.75" customHeight="1">
      <c r="C798" s="25"/>
      <c r="D798" s="25"/>
      <c r="E798" s="25"/>
      <c r="F798" s="25"/>
      <c r="K798" s="25"/>
    </row>
    <row r="799" ht="15.75" customHeight="1">
      <c r="C799" s="25"/>
      <c r="D799" s="25"/>
      <c r="E799" s="25"/>
      <c r="F799" s="25"/>
      <c r="K799" s="25"/>
    </row>
    <row r="800" ht="15.75" customHeight="1">
      <c r="C800" s="25"/>
      <c r="D800" s="25"/>
      <c r="E800" s="25"/>
      <c r="F800" s="25"/>
      <c r="K800" s="25"/>
    </row>
    <row r="801" ht="15.75" customHeight="1">
      <c r="C801" s="25"/>
      <c r="D801" s="25"/>
      <c r="E801" s="25"/>
      <c r="F801" s="25"/>
      <c r="K801" s="25"/>
    </row>
    <row r="802" ht="15.75" customHeight="1">
      <c r="C802" s="25"/>
      <c r="D802" s="25"/>
      <c r="E802" s="25"/>
      <c r="F802" s="25"/>
      <c r="K802" s="25"/>
    </row>
    <row r="803" ht="15.75" customHeight="1">
      <c r="C803" s="25"/>
      <c r="D803" s="25"/>
      <c r="E803" s="25"/>
      <c r="F803" s="25"/>
      <c r="K803" s="25"/>
    </row>
    <row r="804" ht="15.75" customHeight="1">
      <c r="C804" s="25"/>
      <c r="D804" s="25"/>
      <c r="E804" s="25"/>
      <c r="F804" s="25"/>
      <c r="K804" s="25"/>
    </row>
    <row r="805" ht="15.75" customHeight="1">
      <c r="C805" s="25"/>
      <c r="D805" s="25"/>
      <c r="E805" s="25"/>
      <c r="F805" s="25"/>
      <c r="K805" s="25"/>
    </row>
    <row r="806" ht="15.75" customHeight="1">
      <c r="C806" s="25"/>
      <c r="D806" s="25"/>
      <c r="E806" s="25"/>
      <c r="F806" s="25"/>
      <c r="K806" s="25"/>
    </row>
    <row r="807" ht="15.75" customHeight="1">
      <c r="C807" s="25"/>
      <c r="D807" s="25"/>
      <c r="E807" s="25"/>
      <c r="F807" s="25"/>
      <c r="K807" s="25"/>
    </row>
    <row r="808" ht="15.75" customHeight="1">
      <c r="C808" s="25"/>
      <c r="D808" s="25"/>
      <c r="E808" s="25"/>
      <c r="F808" s="25"/>
      <c r="K808" s="25"/>
    </row>
    <row r="809" ht="15.75" customHeight="1">
      <c r="C809" s="25"/>
      <c r="D809" s="25"/>
      <c r="E809" s="25"/>
      <c r="F809" s="25"/>
      <c r="K809" s="25"/>
    </row>
    <row r="810" ht="15.75" customHeight="1">
      <c r="C810" s="25"/>
      <c r="D810" s="25"/>
      <c r="E810" s="25"/>
      <c r="F810" s="25"/>
      <c r="K810" s="25"/>
    </row>
    <row r="811" ht="15.75" customHeight="1">
      <c r="C811" s="25"/>
      <c r="D811" s="25"/>
      <c r="E811" s="25"/>
      <c r="F811" s="25"/>
      <c r="K811" s="25"/>
    </row>
    <row r="812" ht="15.75" customHeight="1">
      <c r="C812" s="25"/>
      <c r="D812" s="25"/>
      <c r="E812" s="25"/>
      <c r="F812" s="25"/>
      <c r="K812" s="25"/>
    </row>
    <row r="813" ht="15.75" customHeight="1">
      <c r="C813" s="25"/>
      <c r="D813" s="25"/>
      <c r="E813" s="25"/>
      <c r="F813" s="25"/>
      <c r="K813" s="25"/>
    </row>
    <row r="814" ht="15.75" customHeight="1">
      <c r="C814" s="25"/>
      <c r="D814" s="25"/>
      <c r="E814" s="25"/>
      <c r="F814" s="25"/>
      <c r="K814" s="25"/>
    </row>
    <row r="815" ht="15.75" customHeight="1">
      <c r="C815" s="25"/>
      <c r="D815" s="25"/>
      <c r="E815" s="25"/>
      <c r="F815" s="25"/>
      <c r="K815" s="25"/>
    </row>
    <row r="816" ht="15.75" customHeight="1">
      <c r="C816" s="25"/>
      <c r="D816" s="25"/>
      <c r="E816" s="25"/>
      <c r="F816" s="25"/>
      <c r="K816" s="25"/>
    </row>
    <row r="817" ht="15.75" customHeight="1">
      <c r="C817" s="25"/>
      <c r="D817" s="25"/>
      <c r="E817" s="25"/>
      <c r="F817" s="25"/>
      <c r="K817" s="25"/>
    </row>
    <row r="818" ht="15.75" customHeight="1">
      <c r="C818" s="25"/>
      <c r="D818" s="25"/>
      <c r="E818" s="25"/>
      <c r="F818" s="25"/>
      <c r="K818" s="25"/>
    </row>
    <row r="819" ht="15.75" customHeight="1">
      <c r="C819" s="25"/>
      <c r="D819" s="25"/>
      <c r="E819" s="25"/>
      <c r="F819" s="25"/>
      <c r="K819" s="25"/>
    </row>
    <row r="820" ht="15.75" customHeight="1">
      <c r="C820" s="25"/>
      <c r="D820" s="25"/>
      <c r="E820" s="25"/>
      <c r="F820" s="25"/>
      <c r="K820" s="25"/>
    </row>
    <row r="821" ht="15.75" customHeight="1">
      <c r="C821" s="25"/>
      <c r="D821" s="25"/>
      <c r="E821" s="25"/>
      <c r="F821" s="25"/>
      <c r="K821" s="25"/>
    </row>
    <row r="822" ht="15.75" customHeight="1">
      <c r="C822" s="25"/>
      <c r="D822" s="25"/>
      <c r="E822" s="25"/>
      <c r="F822" s="25"/>
      <c r="K822" s="25"/>
    </row>
    <row r="823" ht="15.75" customHeight="1">
      <c r="C823" s="25"/>
      <c r="D823" s="25"/>
      <c r="E823" s="25"/>
      <c r="F823" s="25"/>
      <c r="K823" s="25"/>
    </row>
    <row r="824" ht="15.75" customHeight="1">
      <c r="C824" s="25"/>
      <c r="D824" s="25"/>
      <c r="E824" s="25"/>
      <c r="F824" s="25"/>
      <c r="K824" s="25"/>
    </row>
    <row r="825" ht="15.75" customHeight="1">
      <c r="C825" s="25"/>
      <c r="D825" s="25"/>
      <c r="E825" s="25"/>
      <c r="F825" s="25"/>
      <c r="K825" s="25"/>
    </row>
    <row r="826" ht="15.75" customHeight="1">
      <c r="C826" s="25"/>
      <c r="D826" s="25"/>
      <c r="E826" s="25"/>
      <c r="F826" s="25"/>
      <c r="K826" s="25"/>
    </row>
    <row r="827" ht="15.75" customHeight="1">
      <c r="C827" s="25"/>
      <c r="D827" s="25"/>
      <c r="E827" s="25"/>
      <c r="F827" s="25"/>
      <c r="K827" s="25"/>
    </row>
    <row r="828" ht="15.75" customHeight="1">
      <c r="C828" s="25"/>
      <c r="D828" s="25"/>
      <c r="E828" s="25"/>
      <c r="F828" s="25"/>
      <c r="K828" s="25"/>
    </row>
    <row r="829" ht="15.75" customHeight="1">
      <c r="C829" s="25"/>
      <c r="D829" s="25"/>
      <c r="E829" s="25"/>
      <c r="F829" s="25"/>
      <c r="K829" s="25"/>
    </row>
    <row r="830" ht="15.75" customHeight="1">
      <c r="C830" s="25"/>
      <c r="D830" s="25"/>
      <c r="E830" s="25"/>
      <c r="F830" s="25"/>
      <c r="K830" s="25"/>
    </row>
    <row r="831" ht="15.75" customHeight="1">
      <c r="C831" s="25"/>
      <c r="D831" s="25"/>
      <c r="E831" s="25"/>
      <c r="F831" s="25"/>
      <c r="K831" s="25"/>
    </row>
    <row r="832" ht="15.75" customHeight="1">
      <c r="C832" s="25"/>
      <c r="D832" s="25"/>
      <c r="E832" s="25"/>
      <c r="F832" s="25"/>
      <c r="K832" s="25"/>
    </row>
    <row r="833" ht="15.75" customHeight="1">
      <c r="C833" s="25"/>
      <c r="D833" s="25"/>
      <c r="E833" s="25"/>
      <c r="F833" s="25"/>
      <c r="K833" s="25"/>
    </row>
    <row r="834" ht="15.75" customHeight="1">
      <c r="C834" s="25"/>
      <c r="D834" s="25"/>
      <c r="E834" s="25"/>
      <c r="F834" s="25"/>
      <c r="K834" s="25"/>
    </row>
    <row r="835" ht="15.75" customHeight="1">
      <c r="C835" s="25"/>
      <c r="D835" s="25"/>
      <c r="E835" s="25"/>
      <c r="F835" s="25"/>
      <c r="K835" s="25"/>
    </row>
    <row r="836" ht="15.75" customHeight="1">
      <c r="C836" s="25"/>
      <c r="D836" s="25"/>
      <c r="E836" s="25"/>
      <c r="F836" s="25"/>
      <c r="K836" s="25"/>
    </row>
    <row r="837" ht="15.75" customHeight="1">
      <c r="C837" s="25"/>
      <c r="D837" s="25"/>
      <c r="E837" s="25"/>
      <c r="F837" s="25"/>
      <c r="K837" s="25"/>
    </row>
    <row r="838" ht="15.75" customHeight="1">
      <c r="C838" s="25"/>
      <c r="D838" s="25"/>
      <c r="E838" s="25"/>
      <c r="F838" s="25"/>
      <c r="K838" s="25"/>
    </row>
    <row r="839" ht="15.75" customHeight="1">
      <c r="C839" s="25"/>
      <c r="D839" s="25"/>
      <c r="E839" s="25"/>
      <c r="F839" s="25"/>
      <c r="K839" s="25"/>
    </row>
    <row r="840" ht="15.75" customHeight="1">
      <c r="C840" s="25"/>
      <c r="D840" s="25"/>
      <c r="E840" s="25"/>
      <c r="F840" s="25"/>
      <c r="K840" s="25"/>
    </row>
    <row r="841" ht="15.75" customHeight="1">
      <c r="C841" s="25"/>
      <c r="D841" s="25"/>
      <c r="E841" s="25"/>
      <c r="F841" s="25"/>
      <c r="K841" s="25"/>
    </row>
    <row r="842" ht="15.75" customHeight="1">
      <c r="C842" s="25"/>
      <c r="D842" s="25"/>
      <c r="E842" s="25"/>
      <c r="F842" s="25"/>
      <c r="K842" s="25"/>
    </row>
    <row r="843" ht="15.75" customHeight="1">
      <c r="C843" s="25"/>
      <c r="D843" s="25"/>
      <c r="E843" s="25"/>
      <c r="F843" s="25"/>
      <c r="K843" s="25"/>
    </row>
    <row r="844" ht="15.75" customHeight="1">
      <c r="C844" s="25"/>
      <c r="D844" s="25"/>
      <c r="E844" s="25"/>
      <c r="F844" s="25"/>
      <c r="K844" s="25"/>
    </row>
    <row r="845" ht="15.75" customHeight="1">
      <c r="C845" s="25"/>
      <c r="D845" s="25"/>
      <c r="E845" s="25"/>
      <c r="F845" s="25"/>
      <c r="K845" s="25"/>
    </row>
    <row r="846" ht="15.75" customHeight="1">
      <c r="C846" s="25"/>
      <c r="D846" s="25"/>
      <c r="E846" s="25"/>
      <c r="F846" s="25"/>
      <c r="K846" s="25"/>
    </row>
    <row r="847" ht="15.75" customHeight="1">
      <c r="C847" s="25"/>
      <c r="D847" s="25"/>
      <c r="E847" s="25"/>
      <c r="F847" s="25"/>
      <c r="K847" s="25"/>
    </row>
    <row r="848" ht="15.75" customHeight="1">
      <c r="C848" s="25"/>
      <c r="D848" s="25"/>
      <c r="E848" s="25"/>
      <c r="F848" s="25"/>
      <c r="K848" s="25"/>
    </row>
    <row r="849" ht="15.75" customHeight="1">
      <c r="C849" s="25"/>
      <c r="D849" s="25"/>
      <c r="E849" s="25"/>
      <c r="F849" s="25"/>
      <c r="K849" s="25"/>
    </row>
    <row r="850" ht="15.75" customHeight="1">
      <c r="C850" s="25"/>
      <c r="D850" s="25"/>
      <c r="E850" s="25"/>
      <c r="F850" s="25"/>
      <c r="K850" s="25"/>
    </row>
    <row r="851" ht="15.75" customHeight="1">
      <c r="C851" s="25"/>
      <c r="D851" s="25"/>
      <c r="E851" s="25"/>
      <c r="F851" s="25"/>
      <c r="K851" s="25"/>
    </row>
    <row r="852" ht="15.75" customHeight="1">
      <c r="C852" s="25"/>
      <c r="D852" s="25"/>
      <c r="E852" s="25"/>
      <c r="F852" s="25"/>
      <c r="K852" s="25"/>
    </row>
    <row r="853" ht="15.75" customHeight="1">
      <c r="C853" s="25"/>
      <c r="D853" s="25"/>
      <c r="E853" s="25"/>
      <c r="F853" s="25"/>
      <c r="K853" s="25"/>
    </row>
    <row r="854" ht="15.75" customHeight="1">
      <c r="C854" s="25"/>
      <c r="D854" s="25"/>
      <c r="E854" s="25"/>
      <c r="F854" s="25"/>
      <c r="K854" s="25"/>
    </row>
    <row r="855" ht="15.75" customHeight="1">
      <c r="C855" s="25"/>
      <c r="D855" s="25"/>
      <c r="E855" s="25"/>
      <c r="F855" s="25"/>
      <c r="K855" s="25"/>
    </row>
    <row r="856" ht="15.75" customHeight="1">
      <c r="C856" s="25"/>
      <c r="D856" s="25"/>
      <c r="E856" s="25"/>
      <c r="F856" s="25"/>
      <c r="K856" s="25"/>
    </row>
    <row r="857" ht="15.75" customHeight="1">
      <c r="C857" s="25"/>
      <c r="D857" s="25"/>
      <c r="E857" s="25"/>
      <c r="F857" s="25"/>
      <c r="K857" s="25"/>
    </row>
    <row r="858" ht="15.75" customHeight="1">
      <c r="C858" s="25"/>
      <c r="D858" s="25"/>
      <c r="E858" s="25"/>
      <c r="F858" s="25"/>
      <c r="K858" s="25"/>
    </row>
    <row r="859" ht="15.75" customHeight="1">
      <c r="C859" s="25"/>
      <c r="D859" s="25"/>
      <c r="E859" s="25"/>
      <c r="F859" s="25"/>
      <c r="K859" s="25"/>
    </row>
    <row r="860" ht="15.75" customHeight="1">
      <c r="C860" s="25"/>
      <c r="D860" s="25"/>
      <c r="E860" s="25"/>
      <c r="F860" s="25"/>
      <c r="K860" s="25"/>
    </row>
    <row r="861" ht="15.75" customHeight="1">
      <c r="C861" s="25"/>
      <c r="D861" s="25"/>
      <c r="E861" s="25"/>
      <c r="F861" s="25"/>
      <c r="K861" s="25"/>
    </row>
    <row r="862" ht="15.75" customHeight="1">
      <c r="C862" s="25"/>
      <c r="D862" s="25"/>
      <c r="E862" s="25"/>
      <c r="F862" s="25"/>
      <c r="K862" s="25"/>
    </row>
    <row r="863" ht="15.75" customHeight="1">
      <c r="C863" s="25"/>
      <c r="D863" s="25"/>
      <c r="E863" s="25"/>
      <c r="F863" s="25"/>
      <c r="K863" s="25"/>
    </row>
    <row r="864" ht="15.75" customHeight="1">
      <c r="C864" s="25"/>
      <c r="D864" s="25"/>
      <c r="E864" s="25"/>
      <c r="F864" s="25"/>
      <c r="K864" s="25"/>
    </row>
    <row r="865" ht="15.75" customHeight="1">
      <c r="C865" s="25"/>
      <c r="D865" s="25"/>
      <c r="E865" s="25"/>
      <c r="F865" s="25"/>
      <c r="K865" s="25"/>
    </row>
    <row r="866" ht="15.75" customHeight="1">
      <c r="C866" s="25"/>
      <c r="D866" s="25"/>
      <c r="E866" s="25"/>
      <c r="F866" s="25"/>
      <c r="K866" s="25"/>
    </row>
    <row r="867" ht="15.75" customHeight="1">
      <c r="C867" s="25"/>
      <c r="D867" s="25"/>
      <c r="E867" s="25"/>
      <c r="F867" s="25"/>
      <c r="K867" s="25"/>
    </row>
    <row r="868" ht="15.75" customHeight="1">
      <c r="C868" s="25"/>
      <c r="D868" s="25"/>
      <c r="E868" s="25"/>
      <c r="F868" s="25"/>
      <c r="K868" s="25"/>
    </row>
    <row r="869" ht="15.75" customHeight="1">
      <c r="C869" s="25"/>
      <c r="D869" s="25"/>
      <c r="E869" s="25"/>
      <c r="F869" s="25"/>
      <c r="K869" s="25"/>
    </row>
    <row r="870" ht="15.75" customHeight="1">
      <c r="C870" s="25"/>
      <c r="D870" s="25"/>
      <c r="E870" s="25"/>
      <c r="F870" s="25"/>
      <c r="K870" s="25"/>
    </row>
    <row r="871" ht="15.75" customHeight="1">
      <c r="C871" s="25"/>
      <c r="D871" s="25"/>
      <c r="E871" s="25"/>
      <c r="F871" s="25"/>
      <c r="K871" s="25"/>
    </row>
    <row r="872" ht="15.75" customHeight="1">
      <c r="C872" s="25"/>
      <c r="D872" s="25"/>
      <c r="E872" s="25"/>
      <c r="F872" s="25"/>
      <c r="K872" s="25"/>
    </row>
    <row r="873" ht="15.75" customHeight="1">
      <c r="C873" s="25"/>
      <c r="D873" s="25"/>
      <c r="E873" s="25"/>
      <c r="F873" s="25"/>
      <c r="K873" s="25"/>
    </row>
    <row r="874" ht="15.75" customHeight="1">
      <c r="C874" s="25"/>
      <c r="D874" s="25"/>
      <c r="E874" s="25"/>
      <c r="F874" s="25"/>
      <c r="K874" s="25"/>
    </row>
    <row r="875" ht="15.75" customHeight="1">
      <c r="C875" s="25"/>
      <c r="D875" s="25"/>
      <c r="E875" s="25"/>
      <c r="F875" s="25"/>
      <c r="K875" s="25"/>
    </row>
    <row r="876" ht="15.75" customHeight="1">
      <c r="C876" s="25"/>
      <c r="D876" s="25"/>
      <c r="E876" s="25"/>
      <c r="F876" s="25"/>
      <c r="K876" s="25"/>
    </row>
    <row r="877" ht="15.75" customHeight="1">
      <c r="C877" s="25"/>
      <c r="D877" s="25"/>
      <c r="E877" s="25"/>
      <c r="F877" s="25"/>
      <c r="K877" s="25"/>
    </row>
    <row r="878" ht="15.75" customHeight="1">
      <c r="C878" s="25"/>
      <c r="D878" s="25"/>
      <c r="E878" s="25"/>
      <c r="F878" s="25"/>
      <c r="K878" s="25"/>
    </row>
    <row r="879" ht="15.75" customHeight="1">
      <c r="C879" s="25"/>
      <c r="D879" s="25"/>
      <c r="E879" s="25"/>
      <c r="F879" s="25"/>
      <c r="K879" s="25"/>
    </row>
    <row r="880" ht="15.75" customHeight="1">
      <c r="C880" s="25"/>
      <c r="D880" s="25"/>
      <c r="E880" s="25"/>
      <c r="F880" s="25"/>
      <c r="K880" s="25"/>
    </row>
    <row r="881" ht="15.75" customHeight="1">
      <c r="C881" s="25"/>
      <c r="D881" s="25"/>
      <c r="E881" s="25"/>
      <c r="F881" s="25"/>
      <c r="K881" s="25"/>
    </row>
    <row r="882" ht="15.75" customHeight="1">
      <c r="C882" s="25"/>
      <c r="D882" s="25"/>
      <c r="E882" s="25"/>
      <c r="F882" s="25"/>
      <c r="K882" s="25"/>
    </row>
    <row r="883" ht="15.75" customHeight="1">
      <c r="C883" s="25"/>
      <c r="D883" s="25"/>
      <c r="E883" s="25"/>
      <c r="F883" s="25"/>
      <c r="K883" s="25"/>
    </row>
    <row r="884" ht="15.75" customHeight="1">
      <c r="C884" s="25"/>
      <c r="D884" s="25"/>
      <c r="E884" s="25"/>
      <c r="F884" s="25"/>
      <c r="K884" s="25"/>
    </row>
    <row r="885" ht="15.75" customHeight="1">
      <c r="C885" s="25"/>
      <c r="D885" s="25"/>
      <c r="E885" s="25"/>
      <c r="F885" s="25"/>
      <c r="K885" s="25"/>
    </row>
    <row r="886" ht="15.75" customHeight="1">
      <c r="C886" s="25"/>
      <c r="D886" s="25"/>
      <c r="E886" s="25"/>
      <c r="F886" s="25"/>
      <c r="K886" s="25"/>
    </row>
    <row r="887" ht="15.75" customHeight="1">
      <c r="C887" s="25"/>
      <c r="D887" s="25"/>
      <c r="E887" s="25"/>
      <c r="F887" s="25"/>
      <c r="K887" s="25"/>
    </row>
    <row r="888" ht="15.75" customHeight="1">
      <c r="C888" s="25"/>
      <c r="D888" s="25"/>
      <c r="E888" s="25"/>
      <c r="F888" s="25"/>
      <c r="K888" s="25"/>
    </row>
    <row r="889" ht="15.75" customHeight="1">
      <c r="C889" s="25"/>
      <c r="D889" s="25"/>
      <c r="E889" s="25"/>
      <c r="F889" s="25"/>
      <c r="K889" s="25"/>
    </row>
    <row r="890" ht="15.75" customHeight="1">
      <c r="C890" s="25"/>
      <c r="D890" s="25"/>
      <c r="E890" s="25"/>
      <c r="F890" s="25"/>
      <c r="K890" s="25"/>
    </row>
    <row r="891" ht="15.75" customHeight="1">
      <c r="C891" s="25"/>
      <c r="D891" s="25"/>
      <c r="E891" s="25"/>
      <c r="F891" s="25"/>
      <c r="K891" s="25"/>
    </row>
    <row r="892" ht="15.75" customHeight="1">
      <c r="C892" s="25"/>
      <c r="D892" s="25"/>
      <c r="E892" s="25"/>
      <c r="F892" s="25"/>
      <c r="K892" s="25"/>
    </row>
    <row r="893" ht="15.75" customHeight="1">
      <c r="C893" s="25"/>
      <c r="D893" s="25"/>
      <c r="E893" s="25"/>
      <c r="F893" s="25"/>
      <c r="K893" s="25"/>
    </row>
    <row r="894" ht="15.75" customHeight="1">
      <c r="C894" s="25"/>
      <c r="D894" s="25"/>
      <c r="E894" s="25"/>
      <c r="F894" s="25"/>
      <c r="K894" s="25"/>
    </row>
    <row r="895" ht="15.75" customHeight="1">
      <c r="C895" s="25"/>
      <c r="D895" s="25"/>
      <c r="E895" s="25"/>
      <c r="F895" s="25"/>
      <c r="K895" s="25"/>
    </row>
    <row r="896" ht="15.75" customHeight="1">
      <c r="C896" s="25"/>
      <c r="D896" s="25"/>
      <c r="E896" s="25"/>
      <c r="F896" s="25"/>
      <c r="K896" s="25"/>
    </row>
    <row r="897" ht="15.75" customHeight="1">
      <c r="C897" s="25"/>
      <c r="D897" s="25"/>
      <c r="E897" s="25"/>
      <c r="F897" s="25"/>
      <c r="K897" s="25"/>
    </row>
    <row r="898" ht="15.75" customHeight="1">
      <c r="C898" s="25"/>
      <c r="D898" s="25"/>
      <c r="E898" s="25"/>
      <c r="F898" s="25"/>
      <c r="K898" s="25"/>
    </row>
    <row r="899" ht="15.75" customHeight="1">
      <c r="C899" s="25"/>
      <c r="D899" s="25"/>
      <c r="E899" s="25"/>
      <c r="F899" s="25"/>
      <c r="K899" s="25"/>
    </row>
    <row r="900" ht="15.75" customHeight="1">
      <c r="C900" s="25"/>
      <c r="D900" s="25"/>
      <c r="E900" s="25"/>
      <c r="F900" s="25"/>
      <c r="K900" s="25"/>
    </row>
    <row r="901" ht="15.75" customHeight="1">
      <c r="C901" s="25"/>
      <c r="D901" s="25"/>
      <c r="E901" s="25"/>
      <c r="F901" s="25"/>
      <c r="K901" s="25"/>
    </row>
    <row r="902" ht="15.75" customHeight="1">
      <c r="C902" s="25"/>
      <c r="D902" s="25"/>
      <c r="E902" s="25"/>
      <c r="F902" s="25"/>
      <c r="K902" s="25"/>
    </row>
    <row r="903" ht="15.75" customHeight="1">
      <c r="C903" s="25"/>
      <c r="D903" s="25"/>
      <c r="E903" s="25"/>
      <c r="F903" s="25"/>
      <c r="K903" s="25"/>
    </row>
    <row r="904" ht="15.75" customHeight="1">
      <c r="C904" s="25"/>
      <c r="D904" s="25"/>
      <c r="E904" s="25"/>
      <c r="F904" s="25"/>
      <c r="K904" s="25"/>
    </row>
    <row r="905" ht="15.75" customHeight="1">
      <c r="C905" s="25"/>
      <c r="D905" s="25"/>
      <c r="E905" s="25"/>
      <c r="F905" s="25"/>
      <c r="K905" s="25"/>
    </row>
    <row r="906" ht="15.75" customHeight="1">
      <c r="C906" s="25"/>
      <c r="D906" s="25"/>
      <c r="E906" s="25"/>
      <c r="F906" s="25"/>
      <c r="K906" s="25"/>
    </row>
    <row r="907" ht="15.75" customHeight="1">
      <c r="C907" s="25"/>
      <c r="D907" s="25"/>
      <c r="E907" s="25"/>
      <c r="F907" s="25"/>
      <c r="K907" s="25"/>
    </row>
    <row r="908" ht="15.75" customHeight="1">
      <c r="C908" s="25"/>
      <c r="D908" s="25"/>
      <c r="E908" s="25"/>
      <c r="F908" s="25"/>
      <c r="K908" s="25"/>
    </row>
    <row r="909" ht="15.75" customHeight="1">
      <c r="C909" s="25"/>
      <c r="D909" s="25"/>
      <c r="E909" s="25"/>
      <c r="F909" s="25"/>
      <c r="K909" s="25"/>
    </row>
    <row r="910" ht="15.75" customHeight="1">
      <c r="C910" s="25"/>
      <c r="D910" s="25"/>
      <c r="E910" s="25"/>
      <c r="F910" s="25"/>
      <c r="K910" s="25"/>
    </row>
    <row r="911" ht="15.75" customHeight="1">
      <c r="C911" s="25"/>
      <c r="D911" s="25"/>
      <c r="E911" s="25"/>
      <c r="F911" s="25"/>
      <c r="K911" s="25"/>
    </row>
    <row r="912" ht="15.75" customHeight="1">
      <c r="C912" s="25"/>
      <c r="D912" s="25"/>
      <c r="E912" s="25"/>
      <c r="F912" s="25"/>
      <c r="K912" s="25"/>
    </row>
    <row r="913" ht="15.75" customHeight="1">
      <c r="C913" s="25"/>
      <c r="D913" s="25"/>
      <c r="E913" s="25"/>
      <c r="F913" s="25"/>
      <c r="K913" s="25"/>
    </row>
    <row r="914" ht="15.75" customHeight="1">
      <c r="C914" s="25"/>
      <c r="D914" s="25"/>
      <c r="E914" s="25"/>
      <c r="F914" s="25"/>
      <c r="K914" s="25"/>
    </row>
    <row r="915" ht="15.75" customHeight="1">
      <c r="C915" s="25"/>
      <c r="D915" s="25"/>
      <c r="E915" s="25"/>
      <c r="F915" s="25"/>
      <c r="K915" s="25"/>
    </row>
    <row r="916" ht="15.75" customHeight="1">
      <c r="C916" s="25"/>
      <c r="D916" s="25"/>
      <c r="E916" s="25"/>
      <c r="F916" s="25"/>
      <c r="K916" s="25"/>
    </row>
    <row r="917" ht="15.75" customHeight="1">
      <c r="C917" s="25"/>
      <c r="D917" s="25"/>
      <c r="E917" s="25"/>
      <c r="F917" s="25"/>
      <c r="K917" s="25"/>
    </row>
    <row r="918" ht="15.75" customHeight="1">
      <c r="C918" s="25"/>
      <c r="D918" s="25"/>
      <c r="E918" s="25"/>
      <c r="F918" s="25"/>
      <c r="K918" s="25"/>
    </row>
    <row r="919" ht="15.75" customHeight="1">
      <c r="C919" s="25"/>
      <c r="D919" s="25"/>
      <c r="E919" s="25"/>
      <c r="F919" s="25"/>
      <c r="K919" s="25"/>
    </row>
    <row r="920" ht="15.75" customHeight="1">
      <c r="C920" s="25"/>
      <c r="D920" s="25"/>
      <c r="E920" s="25"/>
      <c r="F920" s="25"/>
      <c r="K920" s="25"/>
    </row>
    <row r="921" ht="15.75" customHeight="1">
      <c r="C921" s="25"/>
      <c r="D921" s="25"/>
      <c r="E921" s="25"/>
      <c r="F921" s="25"/>
      <c r="K921" s="25"/>
    </row>
    <row r="922" ht="15.75" customHeight="1">
      <c r="C922" s="25"/>
      <c r="D922" s="25"/>
      <c r="E922" s="25"/>
      <c r="F922" s="25"/>
      <c r="K922" s="25"/>
    </row>
    <row r="923" ht="15.75" customHeight="1">
      <c r="C923" s="25"/>
      <c r="D923" s="25"/>
      <c r="E923" s="25"/>
      <c r="F923" s="25"/>
      <c r="K923" s="25"/>
    </row>
    <row r="924" ht="15.75" customHeight="1">
      <c r="C924" s="25"/>
      <c r="D924" s="25"/>
      <c r="E924" s="25"/>
      <c r="F924" s="25"/>
      <c r="K924" s="25"/>
    </row>
    <row r="925" ht="15.75" customHeight="1">
      <c r="C925" s="25"/>
      <c r="D925" s="25"/>
      <c r="E925" s="25"/>
      <c r="F925" s="25"/>
      <c r="K925" s="25"/>
    </row>
    <row r="926" ht="15.75" customHeight="1">
      <c r="C926" s="25"/>
      <c r="D926" s="25"/>
      <c r="E926" s="25"/>
      <c r="F926" s="25"/>
      <c r="K926" s="25"/>
    </row>
    <row r="927" ht="15.75" customHeight="1">
      <c r="C927" s="25"/>
      <c r="D927" s="25"/>
      <c r="E927" s="25"/>
      <c r="F927" s="25"/>
      <c r="K927" s="25"/>
    </row>
    <row r="928" ht="15.75" customHeight="1">
      <c r="C928" s="25"/>
      <c r="D928" s="25"/>
      <c r="E928" s="25"/>
      <c r="F928" s="25"/>
      <c r="K928" s="25"/>
    </row>
    <row r="929" ht="15.75" customHeight="1">
      <c r="C929" s="25"/>
      <c r="D929" s="25"/>
      <c r="E929" s="25"/>
      <c r="F929" s="25"/>
      <c r="K929" s="25"/>
    </row>
    <row r="930" ht="15.75" customHeight="1">
      <c r="C930" s="25"/>
      <c r="D930" s="25"/>
      <c r="E930" s="25"/>
      <c r="F930" s="25"/>
      <c r="K930" s="25"/>
    </row>
    <row r="931" ht="15.75" customHeight="1">
      <c r="C931" s="25"/>
      <c r="D931" s="25"/>
      <c r="E931" s="25"/>
      <c r="F931" s="25"/>
      <c r="K931" s="25"/>
    </row>
    <row r="932" ht="15.75" customHeight="1">
      <c r="C932" s="25"/>
      <c r="D932" s="25"/>
      <c r="E932" s="25"/>
      <c r="F932" s="25"/>
      <c r="K932" s="25"/>
    </row>
    <row r="933" ht="15.75" customHeight="1">
      <c r="C933" s="25"/>
      <c r="D933" s="25"/>
      <c r="E933" s="25"/>
      <c r="F933" s="25"/>
      <c r="K933" s="25"/>
    </row>
    <row r="934" ht="15.75" customHeight="1">
      <c r="C934" s="25"/>
      <c r="D934" s="25"/>
      <c r="E934" s="25"/>
      <c r="F934" s="25"/>
      <c r="K934" s="25"/>
    </row>
    <row r="935" ht="15.75" customHeight="1">
      <c r="C935" s="25"/>
      <c r="D935" s="25"/>
      <c r="E935" s="25"/>
      <c r="F935" s="25"/>
      <c r="K935" s="25"/>
    </row>
    <row r="936" ht="15.75" customHeight="1">
      <c r="C936" s="25"/>
      <c r="D936" s="25"/>
      <c r="E936" s="25"/>
      <c r="F936" s="25"/>
      <c r="K936" s="25"/>
    </row>
    <row r="937" ht="15.75" customHeight="1">
      <c r="C937" s="25"/>
      <c r="D937" s="25"/>
      <c r="E937" s="25"/>
      <c r="F937" s="25"/>
      <c r="K937" s="25"/>
    </row>
    <row r="938" ht="15.75" customHeight="1">
      <c r="C938" s="25"/>
      <c r="D938" s="25"/>
      <c r="E938" s="25"/>
      <c r="F938" s="25"/>
      <c r="K938" s="25"/>
    </row>
    <row r="939" ht="15.75" customHeight="1">
      <c r="C939" s="25"/>
      <c r="D939" s="25"/>
      <c r="E939" s="25"/>
      <c r="F939" s="25"/>
      <c r="K939" s="25"/>
    </row>
    <row r="940" ht="15.75" customHeight="1">
      <c r="C940" s="25"/>
      <c r="D940" s="25"/>
      <c r="E940" s="25"/>
      <c r="F940" s="25"/>
      <c r="K940" s="25"/>
    </row>
    <row r="941" ht="15.75" customHeight="1">
      <c r="C941" s="25"/>
      <c r="D941" s="25"/>
      <c r="E941" s="25"/>
      <c r="F941" s="25"/>
      <c r="K941" s="25"/>
    </row>
    <row r="942" ht="15.75" customHeight="1">
      <c r="C942" s="25"/>
      <c r="D942" s="25"/>
      <c r="E942" s="25"/>
      <c r="F942" s="25"/>
      <c r="K942" s="25"/>
    </row>
    <row r="943" ht="15.75" customHeight="1">
      <c r="C943" s="25"/>
      <c r="D943" s="25"/>
      <c r="E943" s="25"/>
      <c r="F943" s="25"/>
      <c r="K943" s="25"/>
    </row>
    <row r="944" ht="15.75" customHeight="1">
      <c r="C944" s="25"/>
      <c r="D944" s="25"/>
      <c r="E944" s="25"/>
      <c r="F944" s="25"/>
      <c r="K944" s="25"/>
    </row>
    <row r="945" ht="15.75" customHeight="1">
      <c r="C945" s="25"/>
      <c r="D945" s="25"/>
      <c r="E945" s="25"/>
      <c r="F945" s="25"/>
      <c r="K945" s="25"/>
    </row>
    <row r="946" ht="15.75" customHeight="1">
      <c r="C946" s="25"/>
      <c r="D946" s="25"/>
      <c r="E946" s="25"/>
      <c r="F946" s="25"/>
      <c r="K946" s="25"/>
    </row>
    <row r="947" ht="15.75" customHeight="1">
      <c r="C947" s="25"/>
      <c r="D947" s="25"/>
      <c r="E947" s="25"/>
      <c r="F947" s="25"/>
      <c r="K947" s="25"/>
    </row>
    <row r="948" ht="15.75" customHeight="1">
      <c r="C948" s="25"/>
      <c r="D948" s="25"/>
      <c r="E948" s="25"/>
      <c r="F948" s="25"/>
      <c r="K948" s="25"/>
    </row>
    <row r="949" ht="15.75" customHeight="1">
      <c r="C949" s="25"/>
      <c r="D949" s="25"/>
      <c r="E949" s="25"/>
      <c r="F949" s="25"/>
      <c r="K949" s="25"/>
    </row>
    <row r="950" ht="15.75" customHeight="1">
      <c r="C950" s="25"/>
      <c r="D950" s="25"/>
      <c r="E950" s="25"/>
      <c r="F950" s="25"/>
      <c r="K950" s="25"/>
    </row>
    <row r="951" ht="15.75" customHeight="1">
      <c r="C951" s="25"/>
      <c r="D951" s="25"/>
      <c r="E951" s="25"/>
      <c r="F951" s="25"/>
      <c r="K951" s="25"/>
    </row>
    <row r="952" ht="15.75" customHeight="1">
      <c r="C952" s="25"/>
      <c r="D952" s="25"/>
      <c r="E952" s="25"/>
      <c r="F952" s="25"/>
      <c r="K952" s="25"/>
    </row>
    <row r="953" ht="15.75" customHeight="1">
      <c r="C953" s="25"/>
      <c r="D953" s="25"/>
      <c r="E953" s="25"/>
      <c r="F953" s="25"/>
      <c r="K953" s="25"/>
    </row>
    <row r="954" ht="15.75" customHeight="1">
      <c r="C954" s="25"/>
      <c r="D954" s="25"/>
      <c r="E954" s="25"/>
      <c r="F954" s="25"/>
      <c r="K954" s="25"/>
    </row>
    <row r="955" ht="15.75" customHeight="1">
      <c r="C955" s="25"/>
      <c r="D955" s="25"/>
      <c r="E955" s="25"/>
      <c r="F955" s="25"/>
      <c r="K955" s="25"/>
    </row>
    <row r="956" ht="15.75" customHeight="1">
      <c r="C956" s="25"/>
      <c r="D956" s="25"/>
      <c r="E956" s="25"/>
      <c r="F956" s="25"/>
      <c r="K956" s="25"/>
    </row>
    <row r="957" ht="15.75" customHeight="1">
      <c r="C957" s="25"/>
      <c r="D957" s="25"/>
      <c r="E957" s="25"/>
      <c r="F957" s="25"/>
      <c r="K957" s="25"/>
    </row>
    <row r="958" ht="15.75" customHeight="1">
      <c r="C958" s="25"/>
      <c r="D958" s="25"/>
      <c r="E958" s="25"/>
      <c r="F958" s="25"/>
      <c r="K958" s="25"/>
    </row>
    <row r="959" ht="15.75" customHeight="1">
      <c r="C959" s="25"/>
      <c r="D959" s="25"/>
      <c r="E959" s="25"/>
      <c r="F959" s="25"/>
      <c r="K959" s="25"/>
    </row>
    <row r="960" ht="15.75" customHeight="1">
      <c r="C960" s="25"/>
      <c r="D960" s="25"/>
      <c r="E960" s="25"/>
      <c r="F960" s="25"/>
      <c r="K960" s="25"/>
    </row>
    <row r="961" ht="15.75" customHeight="1">
      <c r="C961" s="25"/>
      <c r="D961" s="25"/>
      <c r="E961" s="25"/>
      <c r="F961" s="25"/>
      <c r="K961" s="25"/>
    </row>
    <row r="962" ht="15.75" customHeight="1">
      <c r="C962" s="25"/>
      <c r="D962" s="25"/>
      <c r="E962" s="25"/>
      <c r="F962" s="25"/>
      <c r="K962" s="25"/>
    </row>
    <row r="963" ht="15.75" customHeight="1">
      <c r="C963" s="25"/>
      <c r="D963" s="25"/>
      <c r="E963" s="25"/>
      <c r="F963" s="25"/>
      <c r="K963" s="25"/>
    </row>
    <row r="964" ht="15.75" customHeight="1">
      <c r="C964" s="25"/>
      <c r="D964" s="25"/>
      <c r="E964" s="25"/>
      <c r="F964" s="25"/>
      <c r="K964" s="25"/>
    </row>
    <row r="965" ht="15.75" customHeight="1">
      <c r="C965" s="25"/>
      <c r="D965" s="25"/>
      <c r="E965" s="25"/>
      <c r="F965" s="25"/>
      <c r="K965" s="25"/>
    </row>
    <row r="966" ht="15.75" customHeight="1">
      <c r="C966" s="25"/>
      <c r="D966" s="25"/>
      <c r="E966" s="25"/>
      <c r="F966" s="25"/>
      <c r="K966" s="25"/>
    </row>
    <row r="967" ht="15.75" customHeight="1">
      <c r="C967" s="25"/>
      <c r="D967" s="25"/>
      <c r="E967" s="25"/>
      <c r="F967" s="25"/>
      <c r="K967" s="25"/>
    </row>
    <row r="968" ht="15.75" customHeight="1">
      <c r="C968" s="25"/>
      <c r="D968" s="25"/>
      <c r="E968" s="25"/>
      <c r="F968" s="25"/>
      <c r="K968" s="25"/>
    </row>
    <row r="969" ht="15.75" customHeight="1">
      <c r="C969" s="25"/>
      <c r="D969" s="25"/>
      <c r="E969" s="25"/>
      <c r="F969" s="25"/>
      <c r="K969" s="25"/>
    </row>
    <row r="970" ht="15.75" customHeight="1">
      <c r="C970" s="25"/>
      <c r="D970" s="25"/>
      <c r="E970" s="25"/>
      <c r="F970" s="25"/>
      <c r="K970" s="25"/>
    </row>
    <row r="971" ht="15.75" customHeight="1">
      <c r="C971" s="25"/>
      <c r="D971" s="25"/>
      <c r="E971" s="25"/>
      <c r="F971" s="25"/>
      <c r="K971" s="25"/>
    </row>
    <row r="972" ht="15.75" customHeight="1">
      <c r="C972" s="25"/>
      <c r="D972" s="25"/>
      <c r="E972" s="25"/>
      <c r="F972" s="25"/>
      <c r="K972" s="25"/>
    </row>
    <row r="973" ht="15.75" customHeight="1">
      <c r="C973" s="25"/>
      <c r="D973" s="25"/>
      <c r="E973" s="25"/>
      <c r="F973" s="25"/>
      <c r="K973" s="25"/>
    </row>
    <row r="974" ht="15.75" customHeight="1">
      <c r="C974" s="25"/>
      <c r="D974" s="25"/>
      <c r="E974" s="25"/>
      <c r="F974" s="25"/>
      <c r="K974" s="25"/>
    </row>
    <row r="975" ht="15.75" customHeight="1">
      <c r="C975" s="25"/>
      <c r="D975" s="25"/>
      <c r="E975" s="25"/>
      <c r="F975" s="25"/>
      <c r="K975" s="25"/>
    </row>
    <row r="976" ht="15.75" customHeight="1">
      <c r="C976" s="25"/>
      <c r="D976" s="25"/>
      <c r="E976" s="25"/>
      <c r="F976" s="25"/>
      <c r="K976" s="25"/>
    </row>
    <row r="977" ht="15.75" customHeight="1">
      <c r="C977" s="25"/>
      <c r="D977" s="25"/>
      <c r="E977" s="25"/>
      <c r="F977" s="25"/>
      <c r="K977" s="25"/>
    </row>
    <row r="978" ht="15.75" customHeight="1">
      <c r="C978" s="25"/>
      <c r="D978" s="25"/>
      <c r="E978" s="25"/>
      <c r="F978" s="25"/>
      <c r="K978" s="25"/>
    </row>
    <row r="979" ht="15.75" customHeight="1">
      <c r="C979" s="25"/>
      <c r="D979" s="25"/>
      <c r="E979" s="25"/>
      <c r="F979" s="25"/>
      <c r="K979" s="25"/>
    </row>
    <row r="980" ht="15.75" customHeight="1">
      <c r="C980" s="25"/>
      <c r="D980" s="25"/>
      <c r="E980" s="25"/>
      <c r="F980" s="25"/>
      <c r="K980" s="25"/>
    </row>
    <row r="981" ht="15.75" customHeight="1">
      <c r="C981" s="25"/>
      <c r="D981" s="25"/>
      <c r="E981" s="25"/>
      <c r="F981" s="25"/>
      <c r="K981" s="25"/>
    </row>
  </sheetData>
  <conditionalFormatting sqref="A1:A981">
    <cfRule type="expression" dxfId="0" priority="1">
      <formula>"[=COUNTIF (A:A, A1)&gt;1]"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2023-10-25T18:00:31Z</dcterms:created>
  <dc:creator>openpyxl</dc:creator>
</cp:coreProperties>
</file>