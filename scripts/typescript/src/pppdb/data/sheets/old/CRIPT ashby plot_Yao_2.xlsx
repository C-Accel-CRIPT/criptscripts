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engyu/Desktop/MONET/Ashby Plot/data/20240410/"/>
    </mc:Choice>
  </mc:AlternateContent>
  <xr:revisionPtr revIDLastSave="0" documentId="8_{F5AD8698-AA39-2049-B97D-56390098E4AE}" xr6:coauthVersionLast="47" xr6:coauthVersionMax="47" xr10:uidLastSave="{00000000-0000-0000-0000-000000000000}"/>
  <bookViews>
    <workbookView xWindow="0" yWindow="760" windowWidth="30240" windowHeight="17420" firstSheet="2" activeTab="4" xr2:uid="{92178FE6-2D30-944C-89D1-4AE7E672730E}"/>
  </bookViews>
  <sheets>
    <sheet name="Citation" sheetId="11" r:id="rId1"/>
    <sheet name="Material composition" sheetId="14" r:id="rId2"/>
    <sheet name="Material property" sheetId="12" r:id="rId3"/>
    <sheet name="Material option" sheetId="13" r:id="rId4"/>
    <sheet name="Tensile testing" sheetId="7" r:id="rId5"/>
    <sheet name="Condition option" sheetId="16" r:id="rId6"/>
    <sheet name="Rheology (frequency sweep)" sheetId="8" r:id="rId7"/>
    <sheet name="Rheology (stress relaxation)" sheetId="9" r:id="rId8"/>
    <sheet name="Rheology (creep)" sheetId="10" r:id="rId9"/>
    <sheet name="Dynamic mechanical analysis" sheetId="1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4" l="1"/>
  <c r="C5" i="14"/>
  <c r="C4" i="14"/>
  <c r="C38" i="14"/>
  <c r="C37" i="14"/>
  <c r="C36" i="14"/>
  <c r="C35" i="14"/>
  <c r="C42" i="14"/>
  <c r="C41" i="14"/>
  <c r="C40" i="14"/>
  <c r="C39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3" i="14"/>
  <c r="C14" i="14"/>
  <c r="C18" i="14"/>
  <c r="C17" i="14"/>
  <c r="C16" i="14"/>
  <c r="C15" i="14"/>
  <c r="C12" i="14"/>
  <c r="C11" i="14"/>
  <c r="B6" i="10"/>
  <c r="B5" i="10"/>
  <c r="B4" i="10"/>
  <c r="B3" i="10"/>
  <c r="B2" i="10"/>
</calcChain>
</file>

<file path=xl/sharedStrings.xml><?xml version="1.0" encoding="utf-8"?>
<sst xmlns="http://schemas.openxmlformats.org/spreadsheetml/2006/main" count="407" uniqueCount="215">
  <si>
    <t>Bond Energy (kJ/mol)</t>
  </si>
  <si>
    <t>Equilibrium constant (kd/ka)</t>
  </si>
  <si>
    <t>Elastic modulus (MPa)</t>
  </si>
  <si>
    <t>Fracture strain</t>
  </si>
  <si>
    <t>Tearing energy (J/m*2)</t>
  </si>
  <si>
    <t>Toughness (J/m*3)</t>
  </si>
  <si>
    <t>Fracture stress (MPa)</t>
  </si>
  <si>
    <t>Type of dynamic interaction</t>
  </si>
  <si>
    <t>Crossover frequency (rad/s)</t>
  </si>
  <si>
    <t>Yield strain</t>
  </si>
  <si>
    <t>DOI</t>
  </si>
  <si>
    <t>Note: please add here if you see other types</t>
  </si>
  <si>
    <t>Metal_ligand_coordination</t>
  </si>
  <si>
    <t>Hydrogen_bonding</t>
  </si>
  <si>
    <t>Dynamic_covalent_bonding</t>
  </si>
  <si>
    <t>Host_guest_interaction</t>
  </si>
  <si>
    <t>Hydrophobic_interaction</t>
  </si>
  <si>
    <t>Electrostatic_interaction</t>
  </si>
  <si>
    <t>Type of polymers</t>
  </si>
  <si>
    <t>acrylate</t>
  </si>
  <si>
    <t>acetylene</t>
  </si>
  <si>
    <t>alternating</t>
  </si>
  <si>
    <t>amorphous</t>
  </si>
  <si>
    <t>associative_network</t>
  </si>
  <si>
    <t>atactic</t>
  </si>
  <si>
    <t>block</t>
  </si>
  <si>
    <t>bottlebrush</t>
  </si>
  <si>
    <t>carbosiloxane</t>
  </si>
  <si>
    <t>cell</t>
  </si>
  <si>
    <t>comb</t>
  </si>
  <si>
    <t>composite</t>
  </si>
  <si>
    <t>conjugated_poly</t>
  </si>
  <si>
    <t>copolymer</t>
  </si>
  <si>
    <t>cyclic_amine</t>
  </si>
  <si>
    <t>cyclic_anhydride</t>
  </si>
  <si>
    <t>cyclic_carbonate</t>
  </si>
  <si>
    <t>cyclic_ether</t>
  </si>
  <si>
    <t>cyclic_olefin</t>
  </si>
  <si>
    <t>cyclic_sulfur</t>
  </si>
  <si>
    <t>diacid chloride</t>
  </si>
  <si>
    <t>diamines</t>
  </si>
  <si>
    <t>dicarboxylic_acid</t>
  </si>
  <si>
    <t>diene</t>
  </si>
  <si>
    <t>diol</t>
  </si>
  <si>
    <t>elastomer</t>
  </si>
  <si>
    <t>gel</t>
  </si>
  <si>
    <t>gradient</t>
  </si>
  <si>
    <t>homopolymer</t>
  </si>
  <si>
    <t>hydrogel</t>
  </si>
  <si>
    <t>hyperbranch</t>
  </si>
  <si>
    <t>inorganic</t>
  </si>
  <si>
    <t>isotactic</t>
  </si>
  <si>
    <t>lactam</t>
  </si>
  <si>
    <t>lactone</t>
  </si>
  <si>
    <t>linear</t>
  </si>
  <si>
    <t>methylacrylate</t>
  </si>
  <si>
    <t>network</t>
  </si>
  <si>
    <t>olefin</t>
  </si>
  <si>
    <t>organic</t>
  </si>
  <si>
    <t>organometallic</t>
  </si>
  <si>
    <t>oxazoline</t>
  </si>
  <si>
    <t>phosphazenes</t>
  </si>
  <si>
    <t>phosphoesters</t>
  </si>
  <si>
    <t>phosphonate</t>
  </si>
  <si>
    <t>phostone</t>
  </si>
  <si>
    <t>polyacrylates</t>
  </si>
  <si>
    <t>polyamides</t>
  </si>
  <si>
    <t>polyamines</t>
  </si>
  <si>
    <t>polyanydrides</t>
  </si>
  <si>
    <t>polycarbonates</t>
  </si>
  <si>
    <t>polyesters</t>
  </si>
  <si>
    <t>polyethers</t>
  </si>
  <si>
    <t>polyketones</t>
  </si>
  <si>
    <t>polymer_blend</t>
  </si>
  <si>
    <t>polymer_protein</t>
  </si>
  <si>
    <t>polymethacrylates</t>
  </si>
  <si>
    <t>polyolefins</t>
  </si>
  <si>
    <t>polyphenylenes</t>
  </si>
  <si>
    <t>polyphosphazenes</t>
  </si>
  <si>
    <t>polystyrenes</t>
  </si>
  <si>
    <t>polysulfides</t>
  </si>
  <si>
    <t>polysulfones</t>
  </si>
  <si>
    <t>polysulfoxides</t>
  </si>
  <si>
    <t>polythiophenes</t>
  </si>
  <si>
    <t>polyureas</t>
  </si>
  <si>
    <t>polyurethanes</t>
  </si>
  <si>
    <t>polyvinyl_esters</t>
  </si>
  <si>
    <t>polyvinyl_ethers</t>
  </si>
  <si>
    <t>polyvinyls</t>
  </si>
  <si>
    <t>protein</t>
  </si>
  <si>
    <t>random</t>
  </si>
  <si>
    <t>regio_irregular</t>
  </si>
  <si>
    <t>regio_regular</t>
  </si>
  <si>
    <t>ring</t>
  </si>
  <si>
    <t>semicrystalline</t>
  </si>
  <si>
    <t>silicones</t>
  </si>
  <si>
    <t>siloxane</t>
  </si>
  <si>
    <t>star</t>
  </si>
  <si>
    <t>styrene</t>
  </si>
  <si>
    <t>syndiotactic</t>
  </si>
  <si>
    <t>thermoplastic</t>
  </si>
  <si>
    <t>thermoset</t>
  </si>
  <si>
    <t>thiophene</t>
  </si>
  <si>
    <t>vinyl</t>
  </si>
  <si>
    <t>vinyl_ester</t>
  </si>
  <si>
    <t>vinyl_ether</t>
  </si>
  <si>
    <t>smiles</t>
  </si>
  <si>
    <t>bigsmiles</t>
  </si>
  <si>
    <t>Condition</t>
  </si>
  <si>
    <t>atm</t>
  </si>
  <si>
    <t>boundary_type</t>
  </si>
  <si>
    <t>boundary_value</t>
  </si>
  <si>
    <t>box_dimension</t>
  </si>
  <si>
    <t>coordinate</t>
  </si>
  <si>
    <t>cutoff_distance</t>
  </si>
  <si>
    <t>damping_time</t>
  </si>
  <si>
    <t>deborah_number</t>
  </si>
  <si>
    <t>energy</t>
  </si>
  <si>
    <t>energy_threshold</t>
  </si>
  <si>
    <t>flow_rate</t>
  </si>
  <si>
    <t>frequency</t>
  </si>
  <si>
    <t>integration_timestep</t>
  </si>
  <si>
    <t>light_irradiance</t>
  </si>
  <si>
    <t>light_power</t>
  </si>
  <si>
    <t>light_power_electricity</t>
  </si>
  <si>
    <t>light_wavelength</t>
  </si>
  <si>
    <t>material</t>
  </si>
  <si>
    <t>mixing_rate</t>
  </si>
  <si>
    <t>number</t>
  </si>
  <si>
    <t>origin</t>
  </si>
  <si>
    <t>peclet_number</t>
  </si>
  <si>
    <t>ph</t>
  </si>
  <si>
    <t>potential</t>
  </si>
  <si>
    <t>pressure</t>
  </si>
  <si>
    <t>pressure_rate</t>
  </si>
  <si>
    <t>print_layer_height</t>
  </si>
  <si>
    <t>print_line_width</t>
  </si>
  <si>
    <t>print_pressure</t>
  </si>
  <si>
    <t>print_speed</t>
  </si>
  <si>
    <t>ratio</t>
  </si>
  <si>
    <t>relative</t>
  </si>
  <si>
    <t>residence_time</t>
  </si>
  <si>
    <t>shear_rate</t>
  </si>
  <si>
    <t>shear_rate_angular</t>
  </si>
  <si>
    <t>simulation_timestep</t>
  </si>
  <si>
    <t>strain</t>
  </si>
  <si>
    <t>temperature</t>
  </si>
  <si>
    <t>temperature_rate</t>
  </si>
  <si>
    <t>time_delay</t>
  </si>
  <si>
    <t>time_duration</t>
  </si>
  <si>
    <t>time_point</t>
  </si>
  <si>
    <t>volume</t>
  </si>
  <si>
    <t>volume_rate</t>
  </si>
  <si>
    <t>weissenberg_number</t>
  </si>
  <si>
    <t>Activation energy of bond exchange (kJ/mol)</t>
  </si>
  <si>
    <t>Type of polymer (keywords)</t>
  </si>
  <si>
    <t>Component</t>
  </si>
  <si>
    <t>Molecular weight Mn (g/mol)</t>
  </si>
  <si>
    <t>Molecular weight Mw (g/mol)</t>
  </si>
  <si>
    <t>PDI (mw_d)</t>
  </si>
  <si>
    <r>
      <t xml:space="preserve">Glass transition temperature (Tg, </t>
    </r>
    <r>
      <rPr>
        <b/>
        <sz val="9"/>
        <color rgb="FF0070C0"/>
        <rFont val="Calibri (Body)"/>
      </rPr>
      <t>o</t>
    </r>
    <r>
      <rPr>
        <b/>
        <sz val="12"/>
        <color rgb="FF0070C0"/>
        <rFont val="Calibri"/>
        <family val="2"/>
        <scheme val="minor"/>
      </rPr>
      <t>C)</t>
    </r>
  </si>
  <si>
    <t>chemical_id</t>
  </si>
  <si>
    <t>Type</t>
  </si>
  <si>
    <t>journal_article</t>
  </si>
  <si>
    <t>Reference</t>
  </si>
  <si>
    <t>component_concentration_molar_fraction</t>
  </si>
  <si>
    <t>component_concentration_mass_fraction</t>
  </si>
  <si>
    <t>component_concentration_volume_fraction</t>
  </si>
  <si>
    <t>Citation_name</t>
  </si>
  <si>
    <t>Citation_title</t>
  </si>
  <si>
    <t>Material_name</t>
  </si>
  <si>
    <t>Dissociation_rate (kd, M s*-1)</t>
  </si>
  <si>
    <t>Association_rate (ka, M*-1 s*-1)</t>
  </si>
  <si>
    <t>Dissociation_rate_temperature (oC)</t>
  </si>
  <si>
    <t>Association_rate_temperature (oC)</t>
  </si>
  <si>
    <t>Equilibrium_constant_temperature (oC)</t>
  </si>
  <si>
    <t>Tensile_testing_temperature (oC)</t>
  </si>
  <si>
    <t>strain_rate</t>
  </si>
  <si>
    <t>Tensile_testing_strain_rate (mm/min)</t>
  </si>
  <si>
    <t>frequency_sweep_temperature</t>
  </si>
  <si>
    <t>frequency_sweep_shear_rate</t>
  </si>
  <si>
    <t>stress_relaxation_temperature</t>
  </si>
  <si>
    <t>stress_relaxation_strain</t>
  </si>
  <si>
    <t>frequency_sweep_storage_modulus_at_plateau (MPa)</t>
  </si>
  <si>
    <t>stress_relaxation_shear_modulus_at_plateau (MPa)</t>
  </si>
  <si>
    <t>stress_relaxation_relaxation_time (s)</t>
  </si>
  <si>
    <t>creep_compliance_at_equilibrium (MPa*-1)</t>
  </si>
  <si>
    <t>creep_relaxation_time (s)</t>
  </si>
  <si>
    <t>creep_temperature (oC)</t>
  </si>
  <si>
    <t>creep_shear_rate (s-1)</t>
  </si>
  <si>
    <t>dynamic_mechanical_analysis_storage_modulus_at_plateau (MPa)</t>
  </si>
  <si>
    <t>dynamic_mechanical_analysis_temperature (oC)</t>
  </si>
  <si>
    <t>dynamic_mechanical_analysis_shear_rate (s-1)</t>
  </si>
  <si>
    <t>Crosslink density (mol/cm3)</t>
  </si>
  <si>
    <t xml:space="preserve">Robust, Self-Healable Siloxane Elastomers Constructed by Multiple Dynamic Bonds for Stretchable Electronics and Microsystems </t>
  </si>
  <si>
    <t>10.1021/acs.iecr.0c05238</t>
  </si>
  <si>
    <t>human_extract</t>
  </si>
  <si>
    <t>diglycidylether-terminated tetramethyldisiloxane (TMDS-GE)</t>
  </si>
  <si>
    <t>4-amino-phenyl disulfide (AFD)</t>
  </si>
  <si>
    <t>dopamine (DOPA)</t>
  </si>
  <si>
    <t>iron(III) chloride</t>
  </si>
  <si>
    <t>citation001</t>
  </si>
  <si>
    <t>PDMS-MDA-DOPA1-Fe1</t>
  </si>
  <si>
    <t>PDMS-MDA-DOPA1-Fe2</t>
  </si>
  <si>
    <t>PDMS-SS-DOPA1-Fe1</t>
  </si>
  <si>
    <t>PDMS-SS-DOPA1-Fe2</t>
  </si>
  <si>
    <t>PDMS-SS-DOPA1-Fe3</t>
  </si>
  <si>
    <t>PDMS-SS-DOPA2-Fe1</t>
  </si>
  <si>
    <t>PDMS-SS-DOPA2-Fe2</t>
  </si>
  <si>
    <t>PDMS-SS-DOPA3-Fe3</t>
  </si>
  <si>
    <t>PDMS-MDA-DOPA3-Fe2</t>
  </si>
  <si>
    <t>PDMS-MDA</t>
  </si>
  <si>
    <t>PDMS-MDA-DOPA1</t>
  </si>
  <si>
    <t>4,4′-methylenedianiline (MDA)</t>
  </si>
  <si>
    <t>PDMS-SS-DOPA2-Fe3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</si>
</sst>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9"/>
      <color rgb="FF0070C0"/>
      <name val="Calibri (Body)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0" fillId="0" borderId="0" xfId="0" applyNumberFormat="1"/>
    <xf numFmtId="1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72E6-87EF-AF4C-B035-80C7653E1B99}">
  <sheetPr>
    <tabColor theme="4"/>
  </sheetPr>
  <dimension ref="A1:E2"/>
  <sheetViews>
    <sheetView zoomScale="134" workbookViewId="0">
      <selection activeCell="A4" sqref="A4:XFD4"/>
    </sheetView>
  </sheetViews>
  <sheetFormatPr baseColWidth="10" defaultRowHeight="16" x14ac:dyDescent="0.2"/>
  <cols>
    <col min="1" max="1" width="23.6640625" customWidth="1"/>
    <col min="2" max="2" width="104.1640625" customWidth="1"/>
    <col min="3" max="3" width="32.1640625" customWidth="1"/>
    <col min="4" max="4" width="19.1640625" customWidth="1"/>
    <col min="5" max="5" width="16.33203125" customWidth="1"/>
  </cols>
  <sheetData>
    <row r="1" spans="1:5" s="1" customFormat="1" x14ac:dyDescent="0.2">
      <c r="A1" s="1" t="s">
        <v>168</v>
      </c>
      <c r="B1" s="1" t="s">
        <v>169</v>
      </c>
      <c r="C1" s="1" t="s">
        <v>10</v>
      </c>
      <c r="D1" s="1" t="s">
        <v>162</v>
      </c>
      <c r="E1" s="1" t="s">
        <v>164</v>
      </c>
    </row>
    <row r="2" spans="1:5" x14ac:dyDescent="0.2">
      <c r="A2" s="5" t="s">
        <v>201</v>
      </c>
      <c r="B2" t="s">
        <v>194</v>
      </c>
      <c r="C2" t="s">
        <v>195</v>
      </c>
      <c r="D2" t="s">
        <v>196</v>
      </c>
      <c r="E2" t="s">
        <v>163</v>
      </c>
    </row>
  </sheetData>
  <conditionalFormatting sqref="A1:A1048576">
    <cfRule type="duplicateValues" dxfId="12" priority="10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C3E0B-CB10-1D4D-AA4F-625BCDE80971}">
  <sheetPr>
    <tabColor theme="5"/>
  </sheetPr>
  <dimension ref="A1:E42"/>
  <sheetViews>
    <sheetView zoomScale="125" workbookViewId="0">
      <selection activeCell="A2" sqref="A2:A42"/>
    </sheetView>
  </sheetViews>
  <sheetFormatPr baseColWidth="10" defaultRowHeight="16" x14ac:dyDescent="0.2"/>
  <cols>
    <col min="1" max="1" width="79.6640625" customWidth="1"/>
    <col min="2" max="2" width="50.5" customWidth="1"/>
    <col min="3" max="3" width="37.6640625" customWidth="1"/>
    <col min="4" max="4" width="38" customWidth="1"/>
    <col min="5" max="5" width="44" customWidth="1"/>
  </cols>
  <sheetData>
    <row r="1" spans="1:5" x14ac:dyDescent="0.2">
      <c r="A1" s="1" t="s">
        <v>170</v>
      </c>
      <c r="B1" s="1" t="s">
        <v>156</v>
      </c>
      <c r="C1" s="1" t="s">
        <v>165</v>
      </c>
      <c r="D1" s="1" t="s">
        <v>166</v>
      </c>
      <c r="E1" s="1" t="s">
        <v>167</v>
      </c>
    </row>
    <row r="2" spans="1:5" x14ac:dyDescent="0.2">
      <c r="A2" t="s">
        <v>211</v>
      </c>
      <c r="B2" t="s">
        <v>197</v>
      </c>
      <c r="C2">
        <v>0.5</v>
      </c>
    </row>
    <row r="3" spans="1:5" x14ac:dyDescent="0.2">
      <c r="A3" t="s">
        <v>211</v>
      </c>
      <c r="B3" t="s">
        <v>213</v>
      </c>
      <c r="C3">
        <v>0.5</v>
      </c>
    </row>
    <row r="4" spans="1:5" x14ac:dyDescent="0.2">
      <c r="A4" t="s">
        <v>212</v>
      </c>
      <c r="B4" t="s">
        <v>197</v>
      </c>
      <c r="C4">
        <f>1/(2+0.1)</f>
        <v>0.47619047619047616</v>
      </c>
    </row>
    <row r="5" spans="1:5" x14ac:dyDescent="0.2">
      <c r="A5" t="s">
        <v>212</v>
      </c>
      <c r="B5" t="s">
        <v>213</v>
      </c>
      <c r="C5">
        <f t="shared" ref="C5" si="0">1/(2+0.1)</f>
        <v>0.47619047619047616</v>
      </c>
    </row>
    <row r="6" spans="1:5" x14ac:dyDescent="0.2">
      <c r="A6" t="s">
        <v>212</v>
      </c>
      <c r="B6" t="s">
        <v>199</v>
      </c>
      <c r="C6">
        <f>0.1/(2+0.1)</f>
        <v>4.7619047619047616E-2</v>
      </c>
    </row>
    <row r="11" spans="1:5" x14ac:dyDescent="0.2">
      <c r="A11" t="s">
        <v>204</v>
      </c>
      <c r="B11" t="s">
        <v>197</v>
      </c>
      <c r="C11">
        <f>1/(2+0.1*4/3)</f>
        <v>0.46875</v>
      </c>
    </row>
    <row r="12" spans="1:5" x14ac:dyDescent="0.2">
      <c r="A12" t="s">
        <v>204</v>
      </c>
      <c r="B12" t="s">
        <v>198</v>
      </c>
      <c r="C12">
        <f t="shared" ref="C12" si="1">1/(2+0.1*4/3)</f>
        <v>0.46875</v>
      </c>
    </row>
    <row r="13" spans="1:5" x14ac:dyDescent="0.2">
      <c r="A13" t="s">
        <v>204</v>
      </c>
      <c r="B13" t="s">
        <v>199</v>
      </c>
      <c r="C13">
        <f>0.1/(2+0.1*4/3)</f>
        <v>4.6875E-2</v>
      </c>
    </row>
    <row r="14" spans="1:5" x14ac:dyDescent="0.2">
      <c r="A14" t="s">
        <v>204</v>
      </c>
      <c r="B14" t="s">
        <v>200</v>
      </c>
      <c r="C14">
        <f>0.1/3/(2+0.1*4/3)</f>
        <v>1.5625E-2</v>
      </c>
    </row>
    <row r="15" spans="1:5" x14ac:dyDescent="0.2">
      <c r="A15" t="s">
        <v>205</v>
      </c>
      <c r="B15" t="s">
        <v>197</v>
      </c>
      <c r="C15">
        <f>1/(2+0.1*10/9)</f>
        <v>0.47368421052631576</v>
      </c>
    </row>
    <row r="16" spans="1:5" x14ac:dyDescent="0.2">
      <c r="A16" t="s">
        <v>205</v>
      </c>
      <c r="B16" t="s">
        <v>198</v>
      </c>
      <c r="C16">
        <f t="shared" ref="C16" si="2">1/(2+0.1*10/9)</f>
        <v>0.47368421052631576</v>
      </c>
    </row>
    <row r="17" spans="1:3" x14ac:dyDescent="0.2">
      <c r="A17" t="s">
        <v>205</v>
      </c>
      <c r="B17" t="s">
        <v>199</v>
      </c>
      <c r="C17">
        <f>0.1/(2+0.1*10/9)</f>
        <v>4.736842105263158E-2</v>
      </c>
    </row>
    <row r="18" spans="1:3" x14ac:dyDescent="0.2">
      <c r="A18" t="s">
        <v>205</v>
      </c>
      <c r="B18" t="s">
        <v>200</v>
      </c>
      <c r="C18">
        <f>0.1/9/(2+0.1*10/9)</f>
        <v>5.263157894736842E-3</v>
      </c>
    </row>
    <row r="19" spans="1:3" x14ac:dyDescent="0.2">
      <c r="A19" t="s">
        <v>206</v>
      </c>
      <c r="B19" t="s">
        <v>197</v>
      </c>
      <c r="C19">
        <f>1/(2+0.1*28/27)</f>
        <v>0.47535211267605637</v>
      </c>
    </row>
    <row r="20" spans="1:3" x14ac:dyDescent="0.2">
      <c r="A20" t="s">
        <v>206</v>
      </c>
      <c r="B20" t="s">
        <v>198</v>
      </c>
      <c r="C20">
        <f>1/(2+0.1*28/27)</f>
        <v>0.47535211267605637</v>
      </c>
    </row>
    <row r="21" spans="1:3" x14ac:dyDescent="0.2">
      <c r="A21" t="s">
        <v>206</v>
      </c>
      <c r="B21" t="s">
        <v>199</v>
      </c>
      <c r="C21">
        <f>0.1/(2+0.1*28/27)</f>
        <v>4.753521126760564E-2</v>
      </c>
    </row>
    <row r="22" spans="1:3" x14ac:dyDescent="0.2">
      <c r="A22" t="s">
        <v>206</v>
      </c>
      <c r="B22" t="s">
        <v>200</v>
      </c>
      <c r="C22">
        <f>0.1/27/(2+0.1*28/27)</f>
        <v>1.7605633802816902E-3</v>
      </c>
    </row>
    <row r="23" spans="1:3" x14ac:dyDescent="0.2">
      <c r="A23" t="s">
        <v>207</v>
      </c>
      <c r="B23" t="s">
        <v>197</v>
      </c>
      <c r="C23">
        <f>1/(2+0.2*4/3)</f>
        <v>0.44117647058823528</v>
      </c>
    </row>
    <row r="24" spans="1:3" x14ac:dyDescent="0.2">
      <c r="A24" t="s">
        <v>207</v>
      </c>
      <c r="B24" t="s">
        <v>198</v>
      </c>
      <c r="C24">
        <f>1/(2+0.2*4/3)</f>
        <v>0.44117647058823528</v>
      </c>
    </row>
    <row r="25" spans="1:3" x14ac:dyDescent="0.2">
      <c r="A25" t="s">
        <v>207</v>
      </c>
      <c r="B25" t="s">
        <v>199</v>
      </c>
      <c r="C25">
        <f>0.2/(2+0.2*4/3)</f>
        <v>8.8235294117647065E-2</v>
      </c>
    </row>
    <row r="26" spans="1:3" x14ac:dyDescent="0.2">
      <c r="A26" t="s">
        <v>207</v>
      </c>
      <c r="B26" t="s">
        <v>200</v>
      </c>
      <c r="C26">
        <f>0.2/3/(2+0.2*4/3)</f>
        <v>2.9411764705882353E-2</v>
      </c>
    </row>
    <row r="27" spans="1:3" x14ac:dyDescent="0.2">
      <c r="A27" t="s">
        <v>208</v>
      </c>
      <c r="B27" t="s">
        <v>197</v>
      </c>
      <c r="C27">
        <f>1/(2+0.2*10/9)</f>
        <v>0.44999999999999996</v>
      </c>
    </row>
    <row r="28" spans="1:3" x14ac:dyDescent="0.2">
      <c r="A28" t="s">
        <v>208</v>
      </c>
      <c r="B28" t="s">
        <v>198</v>
      </c>
      <c r="C28">
        <f>1/(2+0.2*10/9)</f>
        <v>0.44999999999999996</v>
      </c>
    </row>
    <row r="29" spans="1:3" x14ac:dyDescent="0.2">
      <c r="A29" t="s">
        <v>208</v>
      </c>
      <c r="B29" t="s">
        <v>199</v>
      </c>
      <c r="C29">
        <f>0.2/(2+0.2*10/9)</f>
        <v>0.09</v>
      </c>
    </row>
    <row r="30" spans="1:3" x14ac:dyDescent="0.2">
      <c r="A30" t="s">
        <v>208</v>
      </c>
      <c r="B30" t="s">
        <v>200</v>
      </c>
      <c r="C30">
        <f>0.2/9/(2+0.2*10/9)</f>
        <v>0.01</v>
      </c>
    </row>
    <row r="31" spans="1:3" x14ac:dyDescent="0.2">
      <c r="A31" t="s">
        <v>214</v>
      </c>
      <c r="B31" t="s">
        <v>197</v>
      </c>
      <c r="C31">
        <f>1/(2+0.2*28/27)</f>
        <v>0.45302013422818793</v>
      </c>
    </row>
    <row r="32" spans="1:3" x14ac:dyDescent="0.2">
      <c r="A32" t="s">
        <v>214</v>
      </c>
      <c r="B32" t="s">
        <v>198</v>
      </c>
      <c r="C32">
        <f>1/(2+0.2*28/27)</f>
        <v>0.45302013422818793</v>
      </c>
    </row>
    <row r="33" spans="1:3" x14ac:dyDescent="0.2">
      <c r="A33" t="s">
        <v>214</v>
      </c>
      <c r="B33" t="s">
        <v>199</v>
      </c>
      <c r="C33">
        <f>0.2/(2+0.2*28/27)</f>
        <v>9.0604026845637592E-2</v>
      </c>
    </row>
    <row r="34" spans="1:3" x14ac:dyDescent="0.2">
      <c r="A34" t="s">
        <v>214</v>
      </c>
      <c r="B34" t="s">
        <v>200</v>
      </c>
      <c r="C34">
        <f>0.2/27/(2+0.2*28/27)</f>
        <v>3.3557046979865775E-3</v>
      </c>
    </row>
    <row r="35" spans="1:3" x14ac:dyDescent="0.2">
      <c r="A35" t="s">
        <v>202</v>
      </c>
      <c r="B35" t="s">
        <v>197</v>
      </c>
      <c r="C35">
        <f>1/(2+0.1*4/3)</f>
        <v>0.46875</v>
      </c>
    </row>
    <row r="36" spans="1:3" x14ac:dyDescent="0.2">
      <c r="A36" t="s">
        <v>202</v>
      </c>
      <c r="B36" t="s">
        <v>213</v>
      </c>
      <c r="C36">
        <f t="shared" ref="C36" si="3">1/(2+0.1*4/3)</f>
        <v>0.46875</v>
      </c>
    </row>
    <row r="37" spans="1:3" x14ac:dyDescent="0.2">
      <c r="A37" t="s">
        <v>202</v>
      </c>
      <c r="B37" t="s">
        <v>199</v>
      </c>
      <c r="C37">
        <f>0.1/(2+0.1*4/3)</f>
        <v>4.6875E-2</v>
      </c>
    </row>
    <row r="38" spans="1:3" x14ac:dyDescent="0.2">
      <c r="A38" t="s">
        <v>202</v>
      </c>
      <c r="B38" t="s">
        <v>200</v>
      </c>
      <c r="C38">
        <f>0.1/3/(2+0.1*4/3)</f>
        <v>1.5625E-2</v>
      </c>
    </row>
    <row r="39" spans="1:3" x14ac:dyDescent="0.2">
      <c r="A39" t="s">
        <v>203</v>
      </c>
      <c r="B39" t="s">
        <v>197</v>
      </c>
      <c r="C39">
        <f>1/(2+0.1*10/9)</f>
        <v>0.47368421052631576</v>
      </c>
    </row>
    <row r="40" spans="1:3" x14ac:dyDescent="0.2">
      <c r="A40" t="s">
        <v>203</v>
      </c>
      <c r="B40" t="s">
        <v>213</v>
      </c>
      <c r="C40">
        <f t="shared" ref="C40" si="4">1/(2+0.1*10/9)</f>
        <v>0.47368421052631576</v>
      </c>
    </row>
    <row r="41" spans="1:3" x14ac:dyDescent="0.2">
      <c r="A41" t="s">
        <v>203</v>
      </c>
      <c r="B41" t="s">
        <v>199</v>
      </c>
      <c r="C41">
        <f>0.1/(2+0.1*10/9)</f>
        <v>4.736842105263158E-2</v>
      </c>
    </row>
    <row r="42" spans="1:3" x14ac:dyDescent="0.2">
      <c r="A42" t="s">
        <v>203</v>
      </c>
      <c r="B42" t="s">
        <v>200</v>
      </c>
      <c r="C42">
        <f>0.1/9/(2+0.1*10/9)</f>
        <v>5.263157894736842E-3</v>
      </c>
    </row>
  </sheetData>
  <phoneticPr fontId="6" type="noConversion"/>
  <conditionalFormatting sqref="A1">
    <cfRule type="duplicateValues" dxfId="11" priority="1"/>
  </conditionalFormatting>
  <conditionalFormatting sqref="A43:A1048576 A10">
    <cfRule type="duplicateValues" dxfId="10" priority="10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56F1-20EC-A744-9482-6832CF1C6B0B}">
  <sheetPr>
    <tabColor rgb="FFC00000"/>
  </sheetPr>
  <dimension ref="A1:U35"/>
  <sheetViews>
    <sheetView zoomScale="113" zoomScaleNormal="110" workbookViewId="0">
      <selection activeCell="G35" sqref="G35"/>
    </sheetView>
  </sheetViews>
  <sheetFormatPr baseColWidth="10" defaultRowHeight="16" x14ac:dyDescent="0.2"/>
  <cols>
    <col min="1" max="1" width="80.83203125" customWidth="1"/>
    <col min="2" max="3" width="21.1640625" customWidth="1"/>
    <col min="4" max="4" width="41.1640625" customWidth="1"/>
    <col min="5" max="5" width="29" customWidth="1"/>
    <col min="6" max="6" width="42.6640625" customWidth="1"/>
    <col min="7" max="7" width="37.83203125" customWidth="1"/>
    <col min="8" max="10" width="30.83203125" customWidth="1"/>
    <col min="11" max="11" width="28.1640625" customWidth="1"/>
    <col min="12" max="12" width="34.1640625" customWidth="1"/>
    <col min="13" max="13" width="41" customWidth="1"/>
    <col min="14" max="14" width="33.33203125" customWidth="1"/>
    <col min="15" max="15" width="42.1640625" customWidth="1"/>
    <col min="16" max="16" width="29.83203125" customWidth="1"/>
    <col min="17" max="17" width="38" customWidth="1"/>
    <col min="18" max="18" width="43.83203125" customWidth="1"/>
    <col min="19" max="19" width="34.5" customWidth="1"/>
    <col min="20" max="20" width="39" customWidth="1"/>
    <col min="21" max="21" width="25.5" customWidth="1"/>
  </cols>
  <sheetData>
    <row r="1" spans="1:21" x14ac:dyDescent="0.2">
      <c r="A1" s="1" t="s">
        <v>170</v>
      </c>
      <c r="B1" s="1" t="s">
        <v>161</v>
      </c>
      <c r="C1" s="1" t="s">
        <v>106</v>
      </c>
      <c r="D1" s="1" t="s">
        <v>107</v>
      </c>
      <c r="E1" s="1" t="s">
        <v>168</v>
      </c>
      <c r="F1" s="1" t="s">
        <v>7</v>
      </c>
      <c r="G1" s="1" t="s">
        <v>155</v>
      </c>
      <c r="H1" s="3" t="s">
        <v>157</v>
      </c>
      <c r="I1" s="3" t="s">
        <v>158</v>
      </c>
      <c r="J1" s="3" t="s">
        <v>159</v>
      </c>
      <c r="K1" s="3" t="s">
        <v>0</v>
      </c>
      <c r="L1" s="3" t="s">
        <v>171</v>
      </c>
      <c r="M1" s="3" t="s">
        <v>173</v>
      </c>
      <c r="N1" s="3" t="s">
        <v>172</v>
      </c>
      <c r="O1" s="3" t="s">
        <v>174</v>
      </c>
      <c r="P1" s="3" t="s">
        <v>1</v>
      </c>
      <c r="Q1" s="3" t="s">
        <v>175</v>
      </c>
      <c r="R1" s="3" t="s">
        <v>154</v>
      </c>
      <c r="S1" s="3" t="s">
        <v>160</v>
      </c>
      <c r="T1" s="3" t="s">
        <v>193</v>
      </c>
      <c r="U1" s="3"/>
    </row>
    <row r="2" spans="1:21" x14ac:dyDescent="0.2">
      <c r="A2" t="s">
        <v>212</v>
      </c>
      <c r="E2" t="s">
        <v>201</v>
      </c>
      <c r="F2" t="s">
        <v>13</v>
      </c>
      <c r="G2" t="s">
        <v>44</v>
      </c>
    </row>
    <row r="7" spans="1:21" x14ac:dyDescent="0.2">
      <c r="A7" t="s">
        <v>204</v>
      </c>
      <c r="E7" t="s">
        <v>201</v>
      </c>
      <c r="F7" t="s">
        <v>14</v>
      </c>
      <c r="G7" t="s">
        <v>44</v>
      </c>
    </row>
    <row r="8" spans="1:21" x14ac:dyDescent="0.2">
      <c r="A8" t="s">
        <v>204</v>
      </c>
      <c r="E8" t="s">
        <v>201</v>
      </c>
      <c r="F8" t="s">
        <v>13</v>
      </c>
      <c r="G8" t="s">
        <v>44</v>
      </c>
    </row>
    <row r="9" spans="1:21" x14ac:dyDescent="0.2">
      <c r="A9" t="s">
        <v>204</v>
      </c>
      <c r="E9" t="s">
        <v>201</v>
      </c>
      <c r="F9" t="s">
        <v>12</v>
      </c>
      <c r="G9" t="s">
        <v>44</v>
      </c>
    </row>
    <row r="11" spans="1:21" x14ac:dyDescent="0.2">
      <c r="A11" t="s">
        <v>205</v>
      </c>
      <c r="E11" t="s">
        <v>201</v>
      </c>
      <c r="F11" t="s">
        <v>14</v>
      </c>
      <c r="G11" t="s">
        <v>44</v>
      </c>
    </row>
    <row r="12" spans="1:21" x14ac:dyDescent="0.2">
      <c r="A12" t="s">
        <v>205</v>
      </c>
      <c r="E12" t="s">
        <v>201</v>
      </c>
      <c r="F12" t="s">
        <v>13</v>
      </c>
      <c r="G12" t="s">
        <v>44</v>
      </c>
    </row>
    <row r="13" spans="1:21" x14ac:dyDescent="0.2">
      <c r="A13" t="s">
        <v>205</v>
      </c>
      <c r="E13" t="s">
        <v>201</v>
      </c>
      <c r="F13" t="s">
        <v>12</v>
      </c>
      <c r="G13" t="s">
        <v>44</v>
      </c>
    </row>
    <row r="15" spans="1:21" x14ac:dyDescent="0.2">
      <c r="A15" t="s">
        <v>206</v>
      </c>
      <c r="E15" t="s">
        <v>201</v>
      </c>
      <c r="F15" t="s">
        <v>14</v>
      </c>
      <c r="G15" t="s">
        <v>44</v>
      </c>
    </row>
    <row r="16" spans="1:21" x14ac:dyDescent="0.2">
      <c r="A16" t="s">
        <v>206</v>
      </c>
      <c r="E16" t="s">
        <v>201</v>
      </c>
      <c r="F16" t="s">
        <v>13</v>
      </c>
      <c r="G16" t="s">
        <v>44</v>
      </c>
    </row>
    <row r="17" spans="1:7" x14ac:dyDescent="0.2">
      <c r="A17" t="s">
        <v>206</v>
      </c>
      <c r="E17" t="s">
        <v>201</v>
      </c>
      <c r="F17" t="s">
        <v>12</v>
      </c>
      <c r="G17" t="s">
        <v>44</v>
      </c>
    </row>
    <row r="19" spans="1:7" x14ac:dyDescent="0.2">
      <c r="A19" t="s">
        <v>207</v>
      </c>
      <c r="E19" t="s">
        <v>201</v>
      </c>
      <c r="F19" t="s">
        <v>14</v>
      </c>
      <c r="G19" t="s">
        <v>44</v>
      </c>
    </row>
    <row r="20" spans="1:7" x14ac:dyDescent="0.2">
      <c r="A20" t="s">
        <v>207</v>
      </c>
      <c r="E20" t="s">
        <v>201</v>
      </c>
      <c r="F20" t="s">
        <v>13</v>
      </c>
      <c r="G20" t="s">
        <v>44</v>
      </c>
    </row>
    <row r="21" spans="1:7" x14ac:dyDescent="0.2">
      <c r="A21" t="s">
        <v>207</v>
      </c>
      <c r="E21" t="s">
        <v>201</v>
      </c>
      <c r="F21" t="s">
        <v>12</v>
      </c>
      <c r="G21" t="s">
        <v>44</v>
      </c>
    </row>
    <row r="23" spans="1:7" x14ac:dyDescent="0.2">
      <c r="A23" t="s">
        <v>208</v>
      </c>
      <c r="E23" t="s">
        <v>201</v>
      </c>
      <c r="F23" t="s">
        <v>14</v>
      </c>
      <c r="G23" t="s">
        <v>44</v>
      </c>
    </row>
    <row r="24" spans="1:7" x14ac:dyDescent="0.2">
      <c r="A24" t="s">
        <v>208</v>
      </c>
      <c r="E24" t="s">
        <v>201</v>
      </c>
      <c r="F24" t="s">
        <v>13</v>
      </c>
      <c r="G24" t="s">
        <v>44</v>
      </c>
    </row>
    <row r="25" spans="1:7" x14ac:dyDescent="0.2">
      <c r="A25" t="s">
        <v>208</v>
      </c>
      <c r="E25" t="s">
        <v>201</v>
      </c>
      <c r="F25" t="s">
        <v>12</v>
      </c>
      <c r="G25" t="s">
        <v>44</v>
      </c>
    </row>
    <row r="27" spans="1:7" x14ac:dyDescent="0.2">
      <c r="A27" t="s">
        <v>214</v>
      </c>
      <c r="E27" t="s">
        <v>201</v>
      </c>
      <c r="F27" t="s">
        <v>14</v>
      </c>
      <c r="G27" t="s">
        <v>44</v>
      </c>
    </row>
    <row r="28" spans="1:7" x14ac:dyDescent="0.2">
      <c r="A28" t="s">
        <v>214</v>
      </c>
      <c r="E28" t="s">
        <v>201</v>
      </c>
      <c r="F28" t="s">
        <v>13</v>
      </c>
      <c r="G28" t="s">
        <v>44</v>
      </c>
    </row>
    <row r="29" spans="1:7" x14ac:dyDescent="0.2">
      <c r="A29" t="s">
        <v>214</v>
      </c>
      <c r="E29" t="s">
        <v>201</v>
      </c>
      <c r="F29" t="s">
        <v>12</v>
      </c>
      <c r="G29" t="s">
        <v>44</v>
      </c>
    </row>
    <row r="31" spans="1:7" x14ac:dyDescent="0.2">
      <c r="A31" t="s">
        <v>202</v>
      </c>
      <c r="E31" t="s">
        <v>201</v>
      </c>
      <c r="F31" t="s">
        <v>13</v>
      </c>
      <c r="G31" t="s">
        <v>44</v>
      </c>
    </row>
    <row r="32" spans="1:7" x14ac:dyDescent="0.2">
      <c r="A32" t="s">
        <v>202</v>
      </c>
      <c r="E32" t="s">
        <v>201</v>
      </c>
      <c r="F32" t="s">
        <v>12</v>
      </c>
      <c r="G32" t="s">
        <v>44</v>
      </c>
    </row>
    <row r="34" spans="1:7" x14ac:dyDescent="0.2">
      <c r="A34" t="s">
        <v>203</v>
      </c>
      <c r="E34" t="s">
        <v>201</v>
      </c>
      <c r="F34" t="s">
        <v>13</v>
      </c>
      <c r="G34" t="s">
        <v>44</v>
      </c>
    </row>
    <row r="35" spans="1:7" x14ac:dyDescent="0.2">
      <c r="A35" t="s">
        <v>203</v>
      </c>
      <c r="E35" t="s">
        <v>201</v>
      </c>
      <c r="F35" t="s">
        <v>12</v>
      </c>
      <c r="G35" t="s">
        <v>44</v>
      </c>
    </row>
  </sheetData>
  <phoneticPr fontId="6" type="noConversion"/>
  <conditionalFormatting sqref="A1">
    <cfRule type="duplicateValues" dxfId="9" priority="33"/>
  </conditionalFormatting>
  <conditionalFormatting sqref="A6">
    <cfRule type="duplicateValues" dxfId="8" priority="1"/>
  </conditionalFormatting>
  <conditionalFormatting sqref="A37:A1048576">
    <cfRule type="duplicateValues" dxfId="7" priority="37"/>
  </conditionalFormatting>
  <conditionalFormatting sqref="E1">
    <cfRule type="duplicateValues" dxfId="6" priority="2"/>
  </conditionalFormatting>
  <conditionalFormatting sqref="E2:E37">
    <cfRule type="duplicateValues" dxfId="5" priority="113"/>
  </conditionalFormatting>
  <dataValidations count="2">
    <dataValidation type="list" errorStyle="warning" allowBlank="1" showInputMessage="1" showErrorMessage="1" sqref="D1" xr:uid="{A5DFD8AD-E3BA-8041-A5B8-4B1516046711}">
      <formula1>#REF!</formula1>
    </dataValidation>
    <dataValidation type="list" allowBlank="1" showInputMessage="1" showErrorMessage="1" sqref="C1" xr:uid="{2D2AFF72-BF0B-164B-90A2-8F5BF7809D7C}">
      <formula1>#REF!</formula1>
    </dataValidation>
  </dataValidation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272A6-6B34-464E-A291-EC8D9169107B}">
  <dimension ref="A2:B111"/>
  <sheetViews>
    <sheetView topLeftCell="A63" zoomScale="132" workbookViewId="0">
      <selection activeCell="A89" sqref="A89"/>
    </sheetView>
  </sheetViews>
  <sheetFormatPr baseColWidth="10" defaultRowHeight="16" x14ac:dyDescent="0.2"/>
  <cols>
    <col min="1" max="1" width="31.5" customWidth="1"/>
    <col min="2" max="2" width="69.83203125" customWidth="1"/>
  </cols>
  <sheetData>
    <row r="2" spans="1:2" s="1" customFormat="1" x14ac:dyDescent="0.2">
      <c r="A2" s="1" t="s">
        <v>7</v>
      </c>
      <c r="B2" s="1" t="s">
        <v>11</v>
      </c>
    </row>
    <row r="3" spans="1:2" x14ac:dyDescent="0.2">
      <c r="A3" t="s">
        <v>12</v>
      </c>
    </row>
    <row r="4" spans="1:2" x14ac:dyDescent="0.2">
      <c r="A4" t="s">
        <v>13</v>
      </c>
    </row>
    <row r="5" spans="1:2" x14ac:dyDescent="0.2">
      <c r="A5" t="s">
        <v>14</v>
      </c>
    </row>
    <row r="6" spans="1:2" x14ac:dyDescent="0.2">
      <c r="A6" t="s">
        <v>15</v>
      </c>
    </row>
    <row r="7" spans="1:2" x14ac:dyDescent="0.2">
      <c r="A7" t="s">
        <v>16</v>
      </c>
    </row>
    <row r="8" spans="1:2" x14ac:dyDescent="0.2">
      <c r="A8" t="s">
        <v>17</v>
      </c>
    </row>
    <row r="11" spans="1:2" s="1" customFormat="1" x14ac:dyDescent="0.2">
      <c r="A11" s="1" t="s">
        <v>18</v>
      </c>
      <c r="B11" s="1" t="s">
        <v>11</v>
      </c>
    </row>
    <row r="12" spans="1:2" x14ac:dyDescent="0.2">
      <c r="A12" t="s">
        <v>20</v>
      </c>
    </row>
    <row r="13" spans="1:2" x14ac:dyDescent="0.2">
      <c r="A13" t="s">
        <v>19</v>
      </c>
    </row>
    <row r="14" spans="1:2" x14ac:dyDescent="0.2">
      <c r="A14" t="s">
        <v>21</v>
      </c>
    </row>
    <row r="15" spans="1:2" x14ac:dyDescent="0.2">
      <c r="A15" t="s">
        <v>22</v>
      </c>
    </row>
    <row r="16" spans="1:2" x14ac:dyDescent="0.2">
      <c r="A16" t="s">
        <v>23</v>
      </c>
    </row>
    <row r="17" spans="1:1" x14ac:dyDescent="0.2">
      <c r="A17" t="s">
        <v>24</v>
      </c>
    </row>
    <row r="18" spans="1:1" x14ac:dyDescent="0.2">
      <c r="A18" t="s">
        <v>25</v>
      </c>
    </row>
    <row r="19" spans="1:1" x14ac:dyDescent="0.2">
      <c r="A19" t="s">
        <v>26</v>
      </c>
    </row>
    <row r="20" spans="1:1" x14ac:dyDescent="0.2">
      <c r="A20" t="s">
        <v>27</v>
      </c>
    </row>
    <row r="21" spans="1:1" x14ac:dyDescent="0.2">
      <c r="A21" t="s">
        <v>28</v>
      </c>
    </row>
    <row r="22" spans="1:1" x14ac:dyDescent="0.2">
      <c r="A22" t="s">
        <v>29</v>
      </c>
    </row>
    <row r="23" spans="1:1" x14ac:dyDescent="0.2">
      <c r="A23" t="s">
        <v>30</v>
      </c>
    </row>
    <row r="24" spans="1:1" x14ac:dyDescent="0.2">
      <c r="A24" t="s">
        <v>31</v>
      </c>
    </row>
    <row r="25" spans="1:1" x14ac:dyDescent="0.2">
      <c r="A25" t="s">
        <v>32</v>
      </c>
    </row>
    <row r="26" spans="1:1" x14ac:dyDescent="0.2">
      <c r="A26" t="s">
        <v>33</v>
      </c>
    </row>
    <row r="27" spans="1:1" x14ac:dyDescent="0.2">
      <c r="A27" t="s">
        <v>34</v>
      </c>
    </row>
    <row r="28" spans="1:1" x14ac:dyDescent="0.2">
      <c r="A28" t="s">
        <v>35</v>
      </c>
    </row>
    <row r="29" spans="1:1" x14ac:dyDescent="0.2">
      <c r="A29" t="s">
        <v>36</v>
      </c>
    </row>
    <row r="30" spans="1:1" x14ac:dyDescent="0.2">
      <c r="A30" t="s">
        <v>37</v>
      </c>
    </row>
    <row r="31" spans="1:1" x14ac:dyDescent="0.2">
      <c r="A31" t="s">
        <v>38</v>
      </c>
    </row>
    <row r="32" spans="1:1" x14ac:dyDescent="0.2">
      <c r="A32" t="s">
        <v>39</v>
      </c>
    </row>
    <row r="33" spans="1:1" x14ac:dyDescent="0.2">
      <c r="A33" t="s">
        <v>40</v>
      </c>
    </row>
    <row r="34" spans="1:1" x14ac:dyDescent="0.2">
      <c r="A34" t="s">
        <v>41</v>
      </c>
    </row>
    <row r="35" spans="1:1" x14ac:dyDescent="0.2">
      <c r="A35" t="s">
        <v>42</v>
      </c>
    </row>
    <row r="36" spans="1:1" x14ac:dyDescent="0.2">
      <c r="A36" t="s">
        <v>43</v>
      </c>
    </row>
    <row r="37" spans="1:1" x14ac:dyDescent="0.2">
      <c r="A37" t="s">
        <v>44</v>
      </c>
    </row>
    <row r="38" spans="1:1" x14ac:dyDescent="0.2">
      <c r="A38" t="s">
        <v>45</v>
      </c>
    </row>
    <row r="39" spans="1:1" x14ac:dyDescent="0.2">
      <c r="A39" t="s">
        <v>46</v>
      </c>
    </row>
    <row r="40" spans="1:1" x14ac:dyDescent="0.2">
      <c r="A40" t="s">
        <v>47</v>
      </c>
    </row>
    <row r="41" spans="1:1" x14ac:dyDescent="0.2">
      <c r="A41" t="s">
        <v>48</v>
      </c>
    </row>
    <row r="42" spans="1:1" x14ac:dyDescent="0.2">
      <c r="A42" t="s">
        <v>49</v>
      </c>
    </row>
    <row r="43" spans="1:1" x14ac:dyDescent="0.2">
      <c r="A43" t="s">
        <v>50</v>
      </c>
    </row>
    <row r="44" spans="1:1" x14ac:dyDescent="0.2">
      <c r="A44" t="s">
        <v>51</v>
      </c>
    </row>
    <row r="45" spans="1:1" x14ac:dyDescent="0.2">
      <c r="A45" t="s">
        <v>52</v>
      </c>
    </row>
    <row r="46" spans="1:1" x14ac:dyDescent="0.2">
      <c r="A46" t="s">
        <v>53</v>
      </c>
    </row>
    <row r="47" spans="1:1" x14ac:dyDescent="0.2">
      <c r="A47" t="s">
        <v>54</v>
      </c>
    </row>
    <row r="48" spans="1:1" x14ac:dyDescent="0.2">
      <c r="A48" t="s">
        <v>55</v>
      </c>
    </row>
    <row r="49" spans="1:1" x14ac:dyDescent="0.2">
      <c r="A49" t="s">
        <v>56</v>
      </c>
    </row>
    <row r="50" spans="1:1" x14ac:dyDescent="0.2">
      <c r="A50" t="s">
        <v>57</v>
      </c>
    </row>
    <row r="51" spans="1:1" x14ac:dyDescent="0.2">
      <c r="A51" t="s">
        <v>58</v>
      </c>
    </row>
    <row r="52" spans="1:1" x14ac:dyDescent="0.2">
      <c r="A52" t="s">
        <v>59</v>
      </c>
    </row>
    <row r="53" spans="1:1" x14ac:dyDescent="0.2">
      <c r="A53" t="s">
        <v>60</v>
      </c>
    </row>
    <row r="54" spans="1:1" x14ac:dyDescent="0.2">
      <c r="A54" t="s">
        <v>61</v>
      </c>
    </row>
    <row r="55" spans="1:1" x14ac:dyDescent="0.2">
      <c r="A55" t="s">
        <v>62</v>
      </c>
    </row>
    <row r="56" spans="1:1" x14ac:dyDescent="0.2">
      <c r="A56" t="s">
        <v>63</v>
      </c>
    </row>
    <row r="57" spans="1:1" x14ac:dyDescent="0.2">
      <c r="A57" t="s">
        <v>64</v>
      </c>
    </row>
    <row r="58" spans="1:1" x14ac:dyDescent="0.2">
      <c r="A58" t="s">
        <v>65</v>
      </c>
    </row>
    <row r="59" spans="1:1" x14ac:dyDescent="0.2">
      <c r="A59" t="s">
        <v>66</v>
      </c>
    </row>
    <row r="60" spans="1:1" x14ac:dyDescent="0.2">
      <c r="A60" t="s">
        <v>67</v>
      </c>
    </row>
    <row r="61" spans="1:1" x14ac:dyDescent="0.2">
      <c r="A61" t="s">
        <v>68</v>
      </c>
    </row>
    <row r="62" spans="1:1" x14ac:dyDescent="0.2">
      <c r="A62" t="s">
        <v>69</v>
      </c>
    </row>
    <row r="63" spans="1:1" x14ac:dyDescent="0.2">
      <c r="A63" t="s">
        <v>70</v>
      </c>
    </row>
    <row r="64" spans="1:1" x14ac:dyDescent="0.2">
      <c r="A64" t="s">
        <v>71</v>
      </c>
    </row>
    <row r="65" spans="1:1" x14ac:dyDescent="0.2">
      <c r="A65" t="s">
        <v>72</v>
      </c>
    </row>
    <row r="66" spans="1:1" x14ac:dyDescent="0.2">
      <c r="A66" t="s">
        <v>73</v>
      </c>
    </row>
    <row r="67" spans="1:1" x14ac:dyDescent="0.2">
      <c r="A67" t="s">
        <v>74</v>
      </c>
    </row>
    <row r="68" spans="1:1" x14ac:dyDescent="0.2">
      <c r="A68" t="s">
        <v>75</v>
      </c>
    </row>
    <row r="69" spans="1:1" x14ac:dyDescent="0.2">
      <c r="A69" t="s">
        <v>76</v>
      </c>
    </row>
    <row r="70" spans="1:1" x14ac:dyDescent="0.2">
      <c r="A70" t="s">
        <v>77</v>
      </c>
    </row>
    <row r="71" spans="1:1" x14ac:dyDescent="0.2">
      <c r="A71" t="s">
        <v>78</v>
      </c>
    </row>
    <row r="72" spans="1:1" x14ac:dyDescent="0.2">
      <c r="A72" t="s">
        <v>79</v>
      </c>
    </row>
    <row r="73" spans="1:1" x14ac:dyDescent="0.2">
      <c r="A73" t="s">
        <v>80</v>
      </c>
    </row>
    <row r="74" spans="1:1" x14ac:dyDescent="0.2">
      <c r="A74" t="s">
        <v>81</v>
      </c>
    </row>
    <row r="75" spans="1:1" x14ac:dyDescent="0.2">
      <c r="A75" t="s">
        <v>82</v>
      </c>
    </row>
    <row r="76" spans="1:1" x14ac:dyDescent="0.2">
      <c r="A76" t="s">
        <v>83</v>
      </c>
    </row>
    <row r="77" spans="1:1" x14ac:dyDescent="0.2">
      <c r="A77" t="s">
        <v>84</v>
      </c>
    </row>
    <row r="78" spans="1:1" x14ac:dyDescent="0.2">
      <c r="A78" t="s">
        <v>85</v>
      </c>
    </row>
    <row r="79" spans="1:1" x14ac:dyDescent="0.2">
      <c r="A79" t="s">
        <v>86</v>
      </c>
    </row>
    <row r="80" spans="1:1" x14ac:dyDescent="0.2">
      <c r="A80" t="s">
        <v>87</v>
      </c>
    </row>
    <row r="81" spans="1:1" x14ac:dyDescent="0.2">
      <c r="A81" t="s">
        <v>88</v>
      </c>
    </row>
    <row r="82" spans="1:1" x14ac:dyDescent="0.2">
      <c r="A82" t="s">
        <v>89</v>
      </c>
    </row>
    <row r="83" spans="1:1" x14ac:dyDescent="0.2">
      <c r="A83" t="s">
        <v>90</v>
      </c>
    </row>
    <row r="84" spans="1:1" x14ac:dyDescent="0.2">
      <c r="A84" t="s">
        <v>91</v>
      </c>
    </row>
    <row r="85" spans="1:1" x14ac:dyDescent="0.2">
      <c r="A85" t="s">
        <v>92</v>
      </c>
    </row>
    <row r="86" spans="1:1" x14ac:dyDescent="0.2">
      <c r="A86" t="s">
        <v>93</v>
      </c>
    </row>
    <row r="87" spans="1:1" x14ac:dyDescent="0.2">
      <c r="A87" t="s">
        <v>94</v>
      </c>
    </row>
    <row r="88" spans="1:1" x14ac:dyDescent="0.2">
      <c r="A88" t="s">
        <v>95</v>
      </c>
    </row>
    <row r="89" spans="1:1" x14ac:dyDescent="0.2">
      <c r="A89" t="s">
        <v>96</v>
      </c>
    </row>
    <row r="90" spans="1:1" x14ac:dyDescent="0.2">
      <c r="A90" t="s">
        <v>97</v>
      </c>
    </row>
    <row r="91" spans="1:1" x14ac:dyDescent="0.2">
      <c r="A91" t="s">
        <v>98</v>
      </c>
    </row>
    <row r="92" spans="1:1" x14ac:dyDescent="0.2">
      <c r="A92" t="s">
        <v>99</v>
      </c>
    </row>
    <row r="93" spans="1:1" x14ac:dyDescent="0.2">
      <c r="A93" t="s">
        <v>100</v>
      </c>
    </row>
    <row r="94" spans="1:1" x14ac:dyDescent="0.2">
      <c r="A94" t="s">
        <v>101</v>
      </c>
    </row>
    <row r="95" spans="1:1" x14ac:dyDescent="0.2">
      <c r="A95" t="s">
        <v>102</v>
      </c>
    </row>
    <row r="96" spans="1:1" x14ac:dyDescent="0.2">
      <c r="A96" t="s">
        <v>103</v>
      </c>
    </row>
    <row r="97" spans="1:1" x14ac:dyDescent="0.2">
      <c r="A97" t="s">
        <v>104</v>
      </c>
    </row>
    <row r="98" spans="1:1" x14ac:dyDescent="0.2">
      <c r="A98" t="s">
        <v>105</v>
      </c>
    </row>
    <row r="99" spans="1:1" x14ac:dyDescent="0.2">
      <c r="A99" t="s">
        <v>56</v>
      </c>
    </row>
    <row r="100" spans="1:1" x14ac:dyDescent="0.2">
      <c r="A100" t="s">
        <v>57</v>
      </c>
    </row>
    <row r="101" spans="1:1" x14ac:dyDescent="0.2">
      <c r="A101" t="s">
        <v>58</v>
      </c>
    </row>
    <row r="102" spans="1:1" x14ac:dyDescent="0.2">
      <c r="A102" t="s">
        <v>59</v>
      </c>
    </row>
    <row r="103" spans="1:1" x14ac:dyDescent="0.2">
      <c r="A103" t="s">
        <v>60</v>
      </c>
    </row>
    <row r="104" spans="1:1" x14ac:dyDescent="0.2">
      <c r="A104" t="s">
        <v>61</v>
      </c>
    </row>
    <row r="105" spans="1:1" x14ac:dyDescent="0.2">
      <c r="A105" t="s">
        <v>62</v>
      </c>
    </row>
    <row r="106" spans="1:1" x14ac:dyDescent="0.2">
      <c r="A106" t="s">
        <v>63</v>
      </c>
    </row>
    <row r="107" spans="1:1" x14ac:dyDescent="0.2">
      <c r="A107" t="s">
        <v>64</v>
      </c>
    </row>
    <row r="108" spans="1:1" x14ac:dyDescent="0.2">
      <c r="A108" t="s">
        <v>65</v>
      </c>
    </row>
    <row r="109" spans="1:1" x14ac:dyDescent="0.2">
      <c r="A109" t="s">
        <v>66</v>
      </c>
    </row>
    <row r="110" spans="1:1" x14ac:dyDescent="0.2">
      <c r="A110" t="s">
        <v>67</v>
      </c>
    </row>
    <row r="111" spans="1:1" x14ac:dyDescent="0.2">
      <c r="A111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87AAE-8FDE-304A-92FC-F71402D4224E}">
  <sheetPr>
    <tabColor theme="7"/>
  </sheetPr>
  <dimension ref="A1:I11"/>
  <sheetViews>
    <sheetView tabSelected="1" zoomScale="134" workbookViewId="0">
      <selection activeCell="B32" sqref="B32"/>
    </sheetView>
  </sheetViews>
  <sheetFormatPr baseColWidth="10" defaultRowHeight="16" x14ac:dyDescent="0.2"/>
  <cols>
    <col min="1" max="1" width="77.83203125" customWidth="1"/>
    <col min="2" max="3" width="22.6640625" customWidth="1"/>
    <col min="4" max="4" width="17.5" customWidth="1"/>
    <col min="5" max="5" width="21.1640625" customWidth="1"/>
    <col min="6" max="6" width="17.33203125" customWidth="1"/>
    <col min="7" max="7" width="20.83203125" customWidth="1"/>
    <col min="8" max="8" width="32.5" customWidth="1"/>
    <col min="9" max="9" width="35.1640625" customWidth="1"/>
  </cols>
  <sheetData>
    <row r="1" spans="1:9" s="2" customFormat="1" x14ac:dyDescent="0.2">
      <c r="A1" s="1" t="s">
        <v>170</v>
      </c>
      <c r="B1" s="4" t="s">
        <v>2</v>
      </c>
      <c r="C1" s="4" t="s">
        <v>9</v>
      </c>
      <c r="D1" s="4" t="s">
        <v>3</v>
      </c>
      <c r="E1" s="4" t="s">
        <v>6</v>
      </c>
      <c r="F1" s="4" t="s">
        <v>5</v>
      </c>
      <c r="G1" s="4" t="s">
        <v>4</v>
      </c>
      <c r="H1" s="4" t="s">
        <v>176</v>
      </c>
      <c r="I1" s="4" t="s">
        <v>178</v>
      </c>
    </row>
    <row r="2" spans="1:9" x14ac:dyDescent="0.2">
      <c r="A2" t="s">
        <v>204</v>
      </c>
      <c r="E2">
        <v>1.9</v>
      </c>
      <c r="I2">
        <v>100</v>
      </c>
    </row>
    <row r="3" spans="1:9" x14ac:dyDescent="0.2">
      <c r="A3" t="s">
        <v>205</v>
      </c>
      <c r="E3">
        <v>0.8</v>
      </c>
      <c r="I3">
        <v>20</v>
      </c>
    </row>
    <row r="4" spans="1:9" x14ac:dyDescent="0.2">
      <c r="A4" t="s">
        <v>205</v>
      </c>
      <c r="E4">
        <v>0.89</v>
      </c>
      <c r="I4">
        <v>40</v>
      </c>
    </row>
    <row r="5" spans="1:9" x14ac:dyDescent="0.2">
      <c r="A5" t="s">
        <v>205</v>
      </c>
      <c r="E5">
        <v>0.97</v>
      </c>
      <c r="I5">
        <v>80</v>
      </c>
    </row>
    <row r="6" spans="1:9" x14ac:dyDescent="0.2">
      <c r="A6" t="s">
        <v>205</v>
      </c>
      <c r="E6">
        <v>1.1100000000000001</v>
      </c>
      <c r="I6">
        <v>100</v>
      </c>
    </row>
    <row r="7" spans="1:9" x14ac:dyDescent="0.2">
      <c r="A7" t="s">
        <v>206</v>
      </c>
      <c r="E7">
        <v>0.5</v>
      </c>
      <c r="I7">
        <v>100</v>
      </c>
    </row>
    <row r="8" spans="1:9" x14ac:dyDescent="0.2">
      <c r="A8" t="s">
        <v>207</v>
      </c>
      <c r="E8">
        <v>2.0099999999999998</v>
      </c>
      <c r="I8">
        <v>100</v>
      </c>
    </row>
    <row r="9" spans="1:9" x14ac:dyDescent="0.2">
      <c r="A9" t="s">
        <v>208</v>
      </c>
      <c r="E9">
        <v>1.4</v>
      </c>
      <c r="I9">
        <v>100</v>
      </c>
    </row>
    <row r="10" spans="1:9" x14ac:dyDescent="0.2">
      <c r="A10" t="s">
        <v>209</v>
      </c>
      <c r="E10">
        <v>0.6</v>
      </c>
      <c r="I10">
        <v>100</v>
      </c>
    </row>
    <row r="11" spans="1:9" x14ac:dyDescent="0.2">
      <c r="A11" t="s">
        <v>210</v>
      </c>
      <c r="E11">
        <v>1.5</v>
      </c>
      <c r="I11">
        <v>100</v>
      </c>
    </row>
  </sheetData>
  <phoneticPr fontId="6" type="noConversion"/>
  <conditionalFormatting sqref="A1">
    <cfRule type="duplicateValues" dxfId="4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B099-346F-964B-BCD1-FC495E35FAAF}">
  <dimension ref="A1:B46"/>
  <sheetViews>
    <sheetView zoomScale="90" zoomScaleNormal="90" workbookViewId="0">
      <selection activeCell="B5" sqref="B5"/>
    </sheetView>
  </sheetViews>
  <sheetFormatPr baseColWidth="10" defaultRowHeight="16" x14ac:dyDescent="0.2"/>
  <cols>
    <col min="1" max="1" width="23.83203125" customWidth="1"/>
    <col min="2" max="2" width="45.83203125" customWidth="1"/>
  </cols>
  <sheetData>
    <row r="1" spans="1:2" x14ac:dyDescent="0.2">
      <c r="A1" s="1" t="s">
        <v>108</v>
      </c>
      <c r="B1" s="1" t="s">
        <v>11</v>
      </c>
    </row>
    <row r="2" spans="1:2" x14ac:dyDescent="0.2">
      <c r="A2" t="s">
        <v>109</v>
      </c>
      <c r="B2" t="s">
        <v>177</v>
      </c>
    </row>
    <row r="3" spans="1:2" x14ac:dyDescent="0.2">
      <c r="A3" t="s">
        <v>110</v>
      </c>
    </row>
    <row r="4" spans="1:2" x14ac:dyDescent="0.2">
      <c r="A4" t="s">
        <v>111</v>
      </c>
    </row>
    <row r="5" spans="1:2" x14ac:dyDescent="0.2">
      <c r="A5" t="s">
        <v>112</v>
      </c>
    </row>
    <row r="6" spans="1:2" x14ac:dyDescent="0.2">
      <c r="A6" t="s">
        <v>113</v>
      </c>
    </row>
    <row r="7" spans="1:2" x14ac:dyDescent="0.2">
      <c r="A7" t="s">
        <v>114</v>
      </c>
    </row>
    <row r="8" spans="1:2" x14ac:dyDescent="0.2">
      <c r="A8" t="s">
        <v>115</v>
      </c>
    </row>
    <row r="9" spans="1:2" x14ac:dyDescent="0.2">
      <c r="A9" t="s">
        <v>116</v>
      </c>
    </row>
    <row r="10" spans="1:2" x14ac:dyDescent="0.2">
      <c r="A10" t="s">
        <v>117</v>
      </c>
    </row>
    <row r="11" spans="1:2" x14ac:dyDescent="0.2">
      <c r="A11" t="s">
        <v>118</v>
      </c>
    </row>
    <row r="12" spans="1:2" x14ac:dyDescent="0.2">
      <c r="A12" t="s">
        <v>119</v>
      </c>
    </row>
    <row r="13" spans="1:2" x14ac:dyDescent="0.2">
      <c r="A13" t="s">
        <v>120</v>
      </c>
    </row>
    <row r="14" spans="1:2" x14ac:dyDescent="0.2">
      <c r="A14" t="s">
        <v>121</v>
      </c>
    </row>
    <row r="15" spans="1:2" x14ac:dyDescent="0.2">
      <c r="A15" t="s">
        <v>122</v>
      </c>
    </row>
    <row r="16" spans="1:2" x14ac:dyDescent="0.2">
      <c r="A16" t="s">
        <v>123</v>
      </c>
    </row>
    <row r="17" spans="1:1" x14ac:dyDescent="0.2">
      <c r="A17" t="s">
        <v>124</v>
      </c>
    </row>
    <row r="18" spans="1:1" x14ac:dyDescent="0.2">
      <c r="A18" t="s">
        <v>125</v>
      </c>
    </row>
    <row r="19" spans="1:1" x14ac:dyDescent="0.2">
      <c r="A19" t="s">
        <v>126</v>
      </c>
    </row>
    <row r="20" spans="1:1" x14ac:dyDescent="0.2">
      <c r="A20" t="s">
        <v>127</v>
      </c>
    </row>
    <row r="21" spans="1:1" x14ac:dyDescent="0.2">
      <c r="A21" t="s">
        <v>128</v>
      </c>
    </row>
    <row r="22" spans="1:1" x14ac:dyDescent="0.2">
      <c r="A22" t="s">
        <v>129</v>
      </c>
    </row>
    <row r="23" spans="1:1" x14ac:dyDescent="0.2">
      <c r="A23" t="s">
        <v>130</v>
      </c>
    </row>
    <row r="24" spans="1:1" x14ac:dyDescent="0.2">
      <c r="A24" t="s">
        <v>131</v>
      </c>
    </row>
    <row r="25" spans="1:1" x14ac:dyDescent="0.2">
      <c r="A25" t="s">
        <v>132</v>
      </c>
    </row>
    <row r="26" spans="1:1" x14ac:dyDescent="0.2">
      <c r="A26" t="s">
        <v>133</v>
      </c>
    </row>
    <row r="27" spans="1:1" x14ac:dyDescent="0.2">
      <c r="A27" t="s">
        <v>134</v>
      </c>
    </row>
    <row r="28" spans="1:1" x14ac:dyDescent="0.2">
      <c r="A28" t="s">
        <v>135</v>
      </c>
    </row>
    <row r="29" spans="1:1" x14ac:dyDescent="0.2">
      <c r="A29" t="s">
        <v>136</v>
      </c>
    </row>
    <row r="30" spans="1:1" x14ac:dyDescent="0.2">
      <c r="A30" t="s">
        <v>137</v>
      </c>
    </row>
    <row r="31" spans="1:1" x14ac:dyDescent="0.2">
      <c r="A31" t="s">
        <v>138</v>
      </c>
    </row>
    <row r="32" spans="1:1" x14ac:dyDescent="0.2">
      <c r="A32" t="s">
        <v>139</v>
      </c>
    </row>
    <row r="33" spans="1:1" x14ac:dyDescent="0.2">
      <c r="A33" t="s">
        <v>140</v>
      </c>
    </row>
    <row r="34" spans="1:1" x14ac:dyDescent="0.2">
      <c r="A34" t="s">
        <v>141</v>
      </c>
    </row>
    <row r="35" spans="1:1" x14ac:dyDescent="0.2">
      <c r="A35" t="s">
        <v>142</v>
      </c>
    </row>
    <row r="36" spans="1:1" x14ac:dyDescent="0.2">
      <c r="A36" t="s">
        <v>143</v>
      </c>
    </row>
    <row r="37" spans="1:1" x14ac:dyDescent="0.2">
      <c r="A37" t="s">
        <v>144</v>
      </c>
    </row>
    <row r="38" spans="1:1" x14ac:dyDescent="0.2">
      <c r="A38" t="s">
        <v>145</v>
      </c>
    </row>
    <row r="39" spans="1:1" x14ac:dyDescent="0.2">
      <c r="A39" t="s">
        <v>146</v>
      </c>
    </row>
    <row r="40" spans="1:1" x14ac:dyDescent="0.2">
      <c r="A40" t="s">
        <v>147</v>
      </c>
    </row>
    <row r="41" spans="1:1" x14ac:dyDescent="0.2">
      <c r="A41" t="s">
        <v>148</v>
      </c>
    </row>
    <row r="42" spans="1:1" x14ac:dyDescent="0.2">
      <c r="A42" t="s">
        <v>149</v>
      </c>
    </row>
    <row r="43" spans="1:1" x14ac:dyDescent="0.2">
      <c r="A43" t="s">
        <v>150</v>
      </c>
    </row>
    <row r="44" spans="1:1" x14ac:dyDescent="0.2">
      <c r="A44" t="s">
        <v>151</v>
      </c>
    </row>
    <row r="45" spans="1:1" x14ac:dyDescent="0.2">
      <c r="A45" t="s">
        <v>152</v>
      </c>
    </row>
    <row r="46" spans="1:1" x14ac:dyDescent="0.2">
      <c r="A46" t="s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FA7A9-9931-B04E-9D6F-B6A7E183B1C1}">
  <sheetPr>
    <tabColor theme="9"/>
  </sheetPr>
  <dimension ref="A1:F1"/>
  <sheetViews>
    <sheetView zoomScale="134" workbookViewId="0">
      <selection activeCell="B21" sqref="B21"/>
    </sheetView>
  </sheetViews>
  <sheetFormatPr baseColWidth="10" defaultRowHeight="16" x14ac:dyDescent="0.2"/>
  <cols>
    <col min="1" max="1" width="29" customWidth="1"/>
    <col min="2" max="2" width="49.33203125" customWidth="1"/>
    <col min="3" max="3" width="27.83203125" customWidth="1"/>
    <col min="4" max="4" width="34" customWidth="1"/>
    <col min="5" max="5" width="32.33203125" customWidth="1"/>
    <col min="6" max="6" width="20.83203125" customWidth="1"/>
  </cols>
  <sheetData>
    <row r="1" spans="1:6" s="2" customFormat="1" x14ac:dyDescent="0.2">
      <c r="A1" s="1" t="s">
        <v>170</v>
      </c>
      <c r="B1" s="4" t="s">
        <v>183</v>
      </c>
      <c r="C1" s="4" t="s">
        <v>8</v>
      </c>
      <c r="D1" s="1" t="s">
        <v>179</v>
      </c>
      <c r="E1" s="1" t="s">
        <v>180</v>
      </c>
      <c r="F1" s="4"/>
    </row>
  </sheetData>
  <conditionalFormatting sqref="A1">
    <cfRule type="duplicateValues" dxfId="3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018B-9B09-0F4E-8FBF-D1EE3108BB70}">
  <sheetPr>
    <tabColor rgb="FF7030A0"/>
  </sheetPr>
  <dimension ref="A1:F6"/>
  <sheetViews>
    <sheetView zoomScale="134" workbookViewId="0">
      <selection activeCell="D7" sqref="D7"/>
    </sheetView>
  </sheetViews>
  <sheetFormatPr baseColWidth="10" defaultRowHeight="16" x14ac:dyDescent="0.2"/>
  <cols>
    <col min="1" max="1" width="79.1640625" customWidth="1"/>
    <col min="2" max="2" width="44.33203125" customWidth="1"/>
    <col min="3" max="3" width="34.83203125" customWidth="1"/>
    <col min="4" max="4" width="32.1640625" customWidth="1"/>
    <col min="5" max="5" width="33.1640625" customWidth="1"/>
    <col min="6" max="6" width="20.83203125" customWidth="1"/>
  </cols>
  <sheetData>
    <row r="1" spans="1:6" s="2" customFormat="1" x14ac:dyDescent="0.2">
      <c r="A1" s="1" t="s">
        <v>170</v>
      </c>
      <c r="B1" s="4" t="s">
        <v>184</v>
      </c>
      <c r="C1" s="4" t="s">
        <v>185</v>
      </c>
      <c r="D1" s="1" t="s">
        <v>181</v>
      </c>
      <c r="E1" s="1" t="s">
        <v>182</v>
      </c>
      <c r="F1" s="4"/>
    </row>
    <row r="2" spans="1:6" x14ac:dyDescent="0.2">
      <c r="A2" t="s">
        <v>211</v>
      </c>
      <c r="B2" s="6">
        <v>7.1999999999999998E-3</v>
      </c>
      <c r="D2">
        <v>25</v>
      </c>
      <c r="E2" s="7">
        <v>5.0000000000000001E-3</v>
      </c>
    </row>
    <row r="3" spans="1:6" x14ac:dyDescent="0.2">
      <c r="A3" t="s">
        <v>212</v>
      </c>
      <c r="B3" s="6">
        <v>9.1999999999999998E-3</v>
      </c>
      <c r="D3">
        <v>25</v>
      </c>
      <c r="E3" s="7">
        <v>5.0000000000000001E-3</v>
      </c>
    </row>
    <row r="4" spans="1:6" x14ac:dyDescent="0.2">
      <c r="A4" t="s">
        <v>205</v>
      </c>
      <c r="B4" s="6">
        <v>1.2999999999999999E-2</v>
      </c>
      <c r="D4">
        <v>25</v>
      </c>
      <c r="E4" s="7">
        <v>5.0000000000000001E-3</v>
      </c>
    </row>
    <row r="5" spans="1:6" x14ac:dyDescent="0.2">
      <c r="A5" t="s">
        <v>202</v>
      </c>
      <c r="B5" s="6">
        <v>1.9E-2</v>
      </c>
      <c r="D5">
        <v>25</v>
      </c>
      <c r="E5" s="7">
        <v>5.0000000000000001E-3</v>
      </c>
    </row>
    <row r="6" spans="1:6" x14ac:dyDescent="0.2">
      <c r="A6" t="s">
        <v>203</v>
      </c>
      <c r="B6" s="6">
        <v>1.6E-2</v>
      </c>
      <c r="D6">
        <v>25</v>
      </c>
      <c r="E6" s="7">
        <v>5.0000000000000001E-3</v>
      </c>
    </row>
  </sheetData>
  <conditionalFormatting sqref="A1">
    <cfRule type="duplicateValues" dxfId="2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4BE19-E0FA-044B-B664-B4BD9E4EF063}">
  <sheetPr>
    <tabColor theme="7" tint="-0.499984740745262"/>
  </sheetPr>
  <dimension ref="A1:E6"/>
  <sheetViews>
    <sheetView zoomScale="134" workbookViewId="0">
      <selection activeCell="D7" sqref="D7"/>
    </sheetView>
  </sheetViews>
  <sheetFormatPr baseColWidth="10" defaultRowHeight="16" x14ac:dyDescent="0.2"/>
  <cols>
    <col min="1" max="1" width="72.5" customWidth="1"/>
    <col min="2" max="2" width="39.6640625" customWidth="1"/>
    <col min="3" max="3" width="25.1640625" customWidth="1"/>
    <col min="4" max="4" width="35.83203125" customWidth="1"/>
    <col min="5" max="5" width="21.1640625" customWidth="1"/>
  </cols>
  <sheetData>
    <row r="1" spans="1:5" s="2" customFormat="1" x14ac:dyDescent="0.2">
      <c r="A1" s="1" t="s">
        <v>170</v>
      </c>
      <c r="B1" s="4" t="s">
        <v>186</v>
      </c>
      <c r="C1" s="4" t="s">
        <v>187</v>
      </c>
      <c r="D1" s="1" t="s">
        <v>188</v>
      </c>
      <c r="E1" s="1" t="s">
        <v>189</v>
      </c>
    </row>
    <row r="2" spans="1:5" x14ac:dyDescent="0.2">
      <c r="A2" t="s">
        <v>211</v>
      </c>
      <c r="B2">
        <f>0.27/100/5*10^6</f>
        <v>540</v>
      </c>
      <c r="D2">
        <v>25</v>
      </c>
    </row>
    <row r="3" spans="1:5" x14ac:dyDescent="0.2">
      <c r="A3" t="s">
        <v>212</v>
      </c>
      <c r="B3">
        <f>0.24/100/5*10^6</f>
        <v>479.99999999999994</v>
      </c>
      <c r="D3">
        <v>25</v>
      </c>
    </row>
    <row r="4" spans="1:5" x14ac:dyDescent="0.2">
      <c r="A4" t="s">
        <v>205</v>
      </c>
      <c r="B4">
        <f>0.11/100/5*10^6</f>
        <v>220</v>
      </c>
      <c r="D4">
        <v>25</v>
      </c>
    </row>
    <row r="5" spans="1:5" x14ac:dyDescent="0.2">
      <c r="A5" t="s">
        <v>202</v>
      </c>
      <c r="B5">
        <f>0.044/100/5*10^6</f>
        <v>88</v>
      </c>
      <c r="D5">
        <v>25</v>
      </c>
    </row>
    <row r="6" spans="1:5" x14ac:dyDescent="0.2">
      <c r="A6" t="s">
        <v>203</v>
      </c>
      <c r="B6">
        <f>0.08/100/5*10^6</f>
        <v>160</v>
      </c>
      <c r="D6">
        <v>25</v>
      </c>
    </row>
  </sheetData>
  <phoneticPr fontId="6" type="noConversion"/>
  <conditionalFormatting sqref="A1">
    <cfRule type="duplicateValues" dxfId="1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6A65-C6A8-FA4A-86CA-C8E3D626937B}">
  <sheetPr>
    <tabColor theme="8"/>
  </sheetPr>
  <dimension ref="A1:F1"/>
  <sheetViews>
    <sheetView topLeftCell="G1" zoomScale="134" workbookViewId="0">
      <selection activeCell="A7" sqref="A7"/>
    </sheetView>
  </sheetViews>
  <sheetFormatPr baseColWidth="10" defaultRowHeight="16" x14ac:dyDescent="0.2"/>
  <cols>
    <col min="1" max="1" width="71.5" customWidth="1"/>
    <col min="2" max="2" width="62.1640625" customWidth="1"/>
    <col min="3" max="3" width="25.1640625" customWidth="1"/>
    <col min="4" max="4" width="49.33203125" customWidth="1"/>
    <col min="5" max="5" width="50.6640625" customWidth="1"/>
    <col min="6" max="6" width="20.83203125" customWidth="1"/>
  </cols>
  <sheetData>
    <row r="1" spans="1:6" s="2" customFormat="1" x14ac:dyDescent="0.2">
      <c r="A1" s="1" t="s">
        <v>170</v>
      </c>
      <c r="B1" s="4" t="s">
        <v>190</v>
      </c>
      <c r="C1" s="4"/>
      <c r="D1" s="4" t="s">
        <v>191</v>
      </c>
      <c r="E1" s="4" t="s">
        <v>192</v>
      </c>
      <c r="F1" s="4"/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Citation</vt:lpstr>
      <vt:lpstr>Material composition</vt:lpstr>
      <vt:lpstr>Material property</vt:lpstr>
      <vt:lpstr>Material option</vt:lpstr>
      <vt:lpstr>Tensile testing</vt:lpstr>
      <vt:lpstr>Condition option</vt:lpstr>
      <vt:lpstr>Rheology (frequency sweep)</vt:lpstr>
      <vt:lpstr>Rheology (stress relaxation)</vt:lpstr>
      <vt:lpstr>Rheology (creep)</vt:lpstr>
      <vt:lpstr>Dynamic mechanical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 Zheng</cp:lastModifiedBy>
  <dcterms:created xsi:type="dcterms:W3CDTF">2023-08-25T19:05:27Z</dcterms:created>
  <dcterms:modified xsi:type="dcterms:W3CDTF">2024-04-22T21:09:00Z</dcterms:modified>
</cp:coreProperties>
</file>